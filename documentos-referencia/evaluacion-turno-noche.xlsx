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cose\OneDrive\Escritorio\"/>
    </mc:Choice>
  </mc:AlternateContent>
  <bookViews>
    <workbookView xWindow="0" yWindow="0" windowWidth="15705" windowHeight="4965"/>
  </bookViews>
  <sheets>
    <sheet name="EVALUACIÓN" sheetId="1" r:id="rId1"/>
    <sheet name="REFERENCIAS GENERALES" sheetId="4" r:id="rId2"/>
    <sheet name="PONDERACIÓN" sheetId="5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5" l="1"/>
  <c r="D12" i="5"/>
  <c r="D7" i="5"/>
  <c r="F17" i="5" l="1"/>
  <c r="D19" i="5" s="1"/>
  <c r="F12" i="5"/>
  <c r="D14" i="5" s="1"/>
  <c r="F7" i="5"/>
  <c r="D9" i="5" s="1"/>
  <c r="H6" i="5" l="1"/>
  <c r="I63" i="1" s="1"/>
</calcChain>
</file>

<file path=xl/sharedStrings.xml><?xml version="1.0" encoding="utf-8"?>
<sst xmlns="http://schemas.openxmlformats.org/spreadsheetml/2006/main" count="132" uniqueCount="92">
  <si>
    <t>Fecha:</t>
  </si>
  <si>
    <t>Realizado por:</t>
  </si>
  <si>
    <t>VALORACIÓN CUANTITATIVA</t>
  </si>
  <si>
    <t>OBSERVACIÓN</t>
  </si>
  <si>
    <t>CRITERIO</t>
  </si>
  <si>
    <t>PUNTAJE</t>
  </si>
  <si>
    <t>DESEMPEÑO DE CALIFICACIÓN</t>
  </si>
  <si>
    <t>DESCRIPCIÓN</t>
  </si>
  <si>
    <t>BUENO</t>
  </si>
  <si>
    <t>No es posible verificar si el item se cumple o no. En este caso la pregunta no se toma en el total de la puntuación.</t>
  </si>
  <si>
    <t>EVALUACIÓN GENERAL TURNO NOCHE</t>
  </si>
  <si>
    <t>COMENTARIOS</t>
  </si>
  <si>
    <t>1- HIGIENE / LIMPIEZA</t>
  </si>
  <si>
    <t>¿Los funcionarios se lavan las manos con frecuencia y responden al sonido de la chicharra?</t>
  </si>
  <si>
    <t>¿Se observa riesgo de contaminación cruzada durante los procedimientos de almacenamiento, elaboración o armado de los alimentos?</t>
  </si>
  <si>
    <t xml:space="preserve">¿Se cumple con el menú estipulado para ese día? </t>
  </si>
  <si>
    <t>¿El horario de salida del camión es puntual?</t>
  </si>
  <si>
    <t xml:space="preserve">5- SEGURIDAD Y SALUD OCUPACIONAL </t>
  </si>
  <si>
    <t xml:space="preserve">¿Las características organolépticas de las preparaciones son adecuadas? </t>
  </si>
  <si>
    <t>¿Los procedimientos observados para la obtención de los productos finales evitan la posibilidad de contaminación, deterioro o proliferación de microorganismos patógenos o causantes de putrefacción?</t>
  </si>
  <si>
    <t>En caso de recibir un reclamo ¿Hay resolución del mismo en tiempo y forma?</t>
  </si>
  <si>
    <t>Respecto a la atención al cliente ¿ El trato que se brinda es cordial y acorde a lo esperado según las características del servicio?</t>
  </si>
  <si>
    <t xml:space="preserve">¿Las características organolépticas de las preparaciones dentro de las viandas y los refrigerios, son adecuadas? </t>
  </si>
  <si>
    <t>¿Las viandas y/o refrigerios observados cuentan con los insumos correspondientes?</t>
  </si>
  <si>
    <t>En caso de detectar desviación en la calidad de algún producto ¿Se acciona para dar solución?</t>
  </si>
  <si>
    <t xml:space="preserve"> PORCENTAJE (%)</t>
  </si>
  <si>
    <t>¿La disponibilidad de preparaciones, aderezos, utensilios, pan, agua es adecuada?</t>
  </si>
  <si>
    <t xml:space="preserve">3- SERVICIO DE CENA EN COMEDOR </t>
  </si>
  <si>
    <t>4- SERVICIO DE VIANDAS TURNO TARDE Y NOCHE</t>
  </si>
  <si>
    <t>Recepción</t>
  </si>
  <si>
    <t>Almacenamiento víveres secos</t>
  </si>
  <si>
    <t>Almacenamiento refrigerado y congelado</t>
  </si>
  <si>
    <t>Desinfección</t>
  </si>
  <si>
    <t>Producción: Cocina caliente/Panadería/pastelería</t>
  </si>
  <si>
    <t>Ambiente controlado</t>
  </si>
  <si>
    <t>Servicio/Atención al cliente</t>
  </si>
  <si>
    <t>Lavado de vajilla/Equipos/Utensilios</t>
  </si>
  <si>
    <t>Almacenamiento de residuos</t>
  </si>
  <si>
    <t>Sectores de tránsito y apoyo</t>
  </si>
  <si>
    <t>Libre de glúten</t>
  </si>
  <si>
    <t>Vestuarios y baños</t>
  </si>
  <si>
    <t>Vehículo de transporte</t>
  </si>
  <si>
    <t>¿Los productos se encuentran correctamente identificados y protegidos?</t>
  </si>
  <si>
    <t>¿Los puntos de control se aplican y registran según lo establecido?</t>
  </si>
  <si>
    <t xml:space="preserve">¿Existe acción correctiva en caso de que se detecte una desviación en los PC? </t>
  </si>
  <si>
    <t xml:space="preserve">¿Existe acción correctiva en caso de que se detecte una desviación en los PCC? </t>
  </si>
  <si>
    <t xml:space="preserve">¿Los puntos críticos de control se aplican y registran según lo establecido? </t>
  </si>
  <si>
    <t>¿Se aplican de forma adecuada las buenas prácticas de manipulación para la obtención de productos libres de gluten?</t>
  </si>
  <si>
    <t>1-</t>
  </si>
  <si>
    <t>2-</t>
  </si>
  <si>
    <t>3-</t>
  </si>
  <si>
    <t>4-</t>
  </si>
  <si>
    <t>5-</t>
  </si>
  <si>
    <t>6-</t>
  </si>
  <si>
    <t>7-</t>
  </si>
  <si>
    <t>8-</t>
  </si>
  <si>
    <t>IDEAL</t>
  </si>
  <si>
    <t>CELDAS</t>
  </si>
  <si>
    <t>HIGIENE</t>
  </si>
  <si>
    <t>2 - BUENAS PRÁCTICAS MANIPULACIÓN, PC Y PCC</t>
  </si>
  <si>
    <t>SERVICIO VIANDAS Y COMEDOR</t>
  </si>
  <si>
    <t>BPM, PC Y PCC/SYSO</t>
  </si>
  <si>
    <t>¿Las preparaciones verificadas, cumplen con el gramaje establecido?</t>
  </si>
  <si>
    <t>Según la tarea ¿Se utiliza EPP correspondiente y de forma adecuada?(Chaqueta manga larga, guante anti corte, gafas, etc.)</t>
  </si>
  <si>
    <t>¿Existe cantidad suficiente de EPP y en condiciones adecuadas?</t>
  </si>
  <si>
    <t>¿La zona donde están los extintores está libre de obtrucción para su fácil acceso?</t>
  </si>
  <si>
    <t>Según las tareas observadas ¿Hay ausencia de riesgos en el área de trabajo e identificación de los riesgos posibles?</t>
  </si>
  <si>
    <t xml:space="preserve">Según el área observada ¿Las condiciones de trabajo permiten desarrollar las tareas de forma adecuada? (iluminación, exposición al ruido, etc). </t>
  </si>
  <si>
    <t>9-</t>
  </si>
  <si>
    <t>10-</t>
  </si>
  <si>
    <t>Referencias:</t>
  </si>
  <si>
    <t>0 : muy malo</t>
  </si>
  <si>
    <t>1 : malo</t>
  </si>
  <si>
    <t>2 : regular</t>
  </si>
  <si>
    <t>3 : bueno</t>
  </si>
  <si>
    <t>No V: No es posible verificar</t>
  </si>
  <si>
    <t>EGTN_  Versión 2                                                              Julio 2026</t>
  </si>
  <si>
    <t>¿Los productos químico se almacenan de forma adecuada? )Bandejas anti derrama, hoja de seguridad, hay lavaojos, etc.)</t>
  </si>
  <si>
    <t>REFERENCIAS GENERALES HIGIENE</t>
  </si>
  <si>
    <t>Dicho item cumple adecuadamente con los niveles de higiene solicitados</t>
  </si>
  <si>
    <t>REGULAR</t>
  </si>
  <si>
    <t>Dicho item cumple razonablemente con los niveles de higiene solicitados. Pueden haber falencias menores, de fácil corrección</t>
  </si>
  <si>
    <t>MALO</t>
  </si>
  <si>
    <t>Dicho item cumple con los niveles mínimos de higiene solicitados. Es suficiente pero requiere algunas correcciones.</t>
  </si>
  <si>
    <t>MUY MALO</t>
  </si>
  <si>
    <t>Dicho item es deficiente y no se logra cumplir con el mínimo solicitado. La higiene es deficiente</t>
  </si>
  <si>
    <t>NO V</t>
  </si>
  <si>
    <t>Condiciones de higiene y orden del sector en general (pisos, regueras, lavatorios, equipos, recipientes de basura, etc.) ¿Son adecuadas o permiten definir que la suciedad existente se debe a consecuencias propias de las tareas del sector del turno en cuestión?</t>
  </si>
  <si>
    <t>¿Se utiliza la indumentaria adecuada para la manipulación de alimentos? (Guantes, tapabocas, cofia, etc.)</t>
  </si>
  <si>
    <t>11-</t>
  </si>
  <si>
    <t>12-</t>
  </si>
  <si>
    <t>13-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</si>
</sst>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/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0" xfId="0" applyFont="1"/>
    <xf numFmtId="164" fontId="1" fillId="5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3" fillId="0" borderId="4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164" fontId="3" fillId="0" borderId="43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4" fontId="9" fillId="0" borderId="4" xfId="0" applyNumberFormat="1" applyFont="1" applyBorder="1" applyAlignment="1" applyProtection="1">
      <alignment horizontal="center" wrapText="1"/>
      <protection locked="0"/>
    </xf>
    <xf numFmtId="0" fontId="9" fillId="0" borderId="22" xfId="0" applyFont="1" applyBorder="1" applyAlignment="1" applyProtection="1">
      <alignment horizontal="center" wrapText="1"/>
      <protection locked="0"/>
    </xf>
    <xf numFmtId="0" fontId="9" fillId="0" borderId="0" xfId="0" applyFont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4" borderId="5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vertical="center" wrapText="1"/>
      <protection locked="0"/>
    </xf>
    <xf numFmtId="0" fontId="9" fillId="0" borderId="14" xfId="0" applyFont="1" applyBorder="1" applyAlignment="1" applyProtection="1">
      <alignment vertical="center" wrapText="1"/>
      <protection locked="0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4" borderId="16" xfId="0" applyFont="1" applyFill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 applyProtection="1">
      <alignment vertical="center" wrapText="1"/>
      <protection locked="0"/>
    </xf>
    <xf numFmtId="0" fontId="9" fillId="0" borderId="17" xfId="0" applyFont="1" applyBorder="1" applyAlignment="1" applyProtection="1">
      <alignment vertical="center" wrapText="1"/>
      <protection locked="0"/>
    </xf>
    <xf numFmtId="0" fontId="11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4" borderId="11" xfId="0" applyFont="1" applyFill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vertical="center" wrapText="1"/>
      <protection locked="0"/>
    </xf>
    <xf numFmtId="0" fontId="9" fillId="0" borderId="12" xfId="0" applyFont="1" applyBorder="1" applyAlignment="1" applyProtection="1">
      <alignment vertical="center" wrapText="1"/>
      <protection locked="0"/>
    </xf>
    <xf numFmtId="0" fontId="9" fillId="0" borderId="19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5" xfId="0" applyFont="1" applyBorder="1" applyAlignment="1" applyProtection="1">
      <alignment horizontal="left" vertical="center" wrapText="1"/>
      <protection locked="0"/>
    </xf>
    <xf numFmtId="0" fontId="9" fillId="0" borderId="14" xfId="0" applyFont="1" applyBorder="1" applyAlignment="1" applyProtection="1">
      <alignment horizontal="left" vertical="center" wrapText="1"/>
      <protection locked="0"/>
    </xf>
    <xf numFmtId="0" fontId="9" fillId="4" borderId="35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 wrapText="1"/>
    </xf>
    <xf numFmtId="0" fontId="11" fillId="4" borderId="16" xfId="0" applyFont="1" applyFill="1" applyBorder="1" applyAlignment="1" applyProtection="1">
      <alignment horizontal="center" vertical="center" wrapText="1"/>
      <protection locked="0"/>
    </xf>
    <xf numFmtId="0" fontId="11" fillId="0" borderId="16" xfId="0" applyFont="1" applyBorder="1" applyAlignment="1" applyProtection="1">
      <alignment vertical="center" wrapText="1"/>
      <protection locked="0"/>
    </xf>
    <xf numFmtId="0" fontId="11" fillId="0" borderId="17" xfId="0" applyFont="1" applyBorder="1" applyAlignment="1" applyProtection="1">
      <alignment vertical="center" wrapText="1"/>
      <protection locked="0"/>
    </xf>
    <xf numFmtId="0" fontId="11" fillId="0" borderId="28" xfId="0" applyFont="1" applyBorder="1" applyAlignment="1">
      <alignment horizontal="center" vertical="center" wrapText="1"/>
    </xf>
    <xf numFmtId="0" fontId="11" fillId="0" borderId="28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left" vertical="center" wrapText="1"/>
    </xf>
    <xf numFmtId="0" fontId="9" fillId="4" borderId="21" xfId="0" applyFont="1" applyFill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vertical="center" wrapText="1"/>
      <protection locked="0"/>
    </xf>
    <xf numFmtId="0" fontId="9" fillId="0" borderId="19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 wrapText="1"/>
    </xf>
    <xf numFmtId="0" fontId="9" fillId="4" borderId="22" xfId="0" applyFont="1" applyFill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vertical="center" wrapText="1"/>
      <protection locked="0"/>
    </xf>
    <xf numFmtId="0" fontId="1" fillId="0" borderId="22" xfId="0" applyFont="1" applyBorder="1" applyAlignment="1" applyProtection="1">
      <alignment vertical="center" wrapText="1"/>
      <protection locked="0"/>
    </xf>
    <xf numFmtId="0" fontId="1" fillId="0" borderId="25" xfId="0" applyFont="1" applyBorder="1" applyAlignment="1" applyProtection="1">
      <alignment vertical="center" wrapText="1"/>
      <protection locked="0"/>
    </xf>
    <xf numFmtId="0" fontId="9" fillId="0" borderId="13" xfId="0" applyFont="1" applyBorder="1" applyAlignment="1" applyProtection="1">
      <alignment vertical="center" wrapText="1"/>
      <protection locked="0"/>
    </xf>
    <xf numFmtId="0" fontId="9" fillId="4" borderId="33" xfId="0" applyFont="1" applyFill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5" xfId="0" applyFont="1" applyBorder="1" applyAlignment="1" applyProtection="1">
      <alignment horizontal="center" vertical="center" wrapText="1"/>
      <protection locked="0"/>
    </xf>
    <xf numFmtId="0" fontId="9" fillId="0" borderId="34" xfId="0" applyFont="1" applyBorder="1" applyAlignment="1" applyProtection="1">
      <alignment vertical="center" wrapText="1"/>
      <protection locked="0"/>
    </xf>
    <xf numFmtId="0" fontId="9" fillId="0" borderId="35" xfId="0" applyFont="1" applyBorder="1" applyAlignment="1" applyProtection="1">
      <alignment vertical="center" wrapText="1"/>
      <protection locked="0"/>
    </xf>
    <xf numFmtId="0" fontId="9" fillId="0" borderId="36" xfId="0" applyFont="1" applyBorder="1" applyAlignment="1" applyProtection="1">
      <alignment vertical="center" wrapText="1"/>
      <protection locked="0"/>
    </xf>
    <xf numFmtId="0" fontId="9" fillId="0" borderId="20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left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0" borderId="37" xfId="0" applyFont="1" applyBorder="1" applyAlignment="1" applyProtection="1">
      <alignment horizontal="left" vertical="center" wrapText="1"/>
      <protection locked="0"/>
    </xf>
    <xf numFmtId="0" fontId="9" fillId="0" borderId="11" xfId="0" applyFont="1" applyBorder="1" applyAlignment="1" applyProtection="1">
      <alignment horizontal="left" vertical="center" wrapText="1"/>
      <protection locked="0"/>
    </xf>
    <xf numFmtId="0" fontId="9" fillId="0" borderId="12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 applyProtection="1">
      <alignment horizontal="left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25" xfId="0" applyFont="1" applyBorder="1" applyAlignment="1" applyProtection="1">
      <alignment horizontal="left" vertical="center" wrapText="1"/>
      <protection locked="0"/>
    </xf>
    <xf numFmtId="0" fontId="9" fillId="0" borderId="41" xfId="0" applyFont="1" applyBorder="1" applyAlignment="1" applyProtection="1">
      <alignment horizontal="left" vertical="center" wrapText="1"/>
      <protection locked="0"/>
    </xf>
    <xf numFmtId="0" fontId="9" fillId="0" borderId="39" xfId="0" applyFont="1" applyBorder="1" applyAlignment="1">
      <alignment horizontal="center" vertical="center" wrapText="1"/>
    </xf>
    <xf numFmtId="0" fontId="9" fillId="0" borderId="22" xfId="0" applyFont="1" applyBorder="1" applyAlignment="1" applyProtection="1">
      <alignment horizontal="left" vertical="center" wrapText="1"/>
      <protection locked="0"/>
    </xf>
    <xf numFmtId="0" fontId="9" fillId="0" borderId="40" xfId="0" applyFont="1" applyBorder="1" applyAlignment="1" applyProtection="1">
      <alignment horizontal="left" vertical="center" wrapText="1"/>
      <protection locked="0"/>
    </xf>
    <xf numFmtId="0" fontId="9" fillId="0" borderId="16" xfId="0" applyFont="1" applyBorder="1" applyAlignment="1" applyProtection="1">
      <alignment horizontal="left" vertical="center" wrapText="1"/>
      <protection locked="0"/>
    </xf>
    <xf numFmtId="0" fontId="9" fillId="0" borderId="17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28" xfId="0" applyBorder="1" applyAlignment="1">
      <alignment vertical="center"/>
    </xf>
    <xf numFmtId="0" fontId="0" fillId="0" borderId="4" xfId="0" applyBorder="1" applyAlignment="1">
      <alignment vertical="center"/>
    </xf>
    <xf numFmtId="0" fontId="9" fillId="4" borderId="43" xfId="0" applyFont="1" applyFill="1" applyBorder="1" applyAlignment="1" applyProtection="1">
      <alignment horizontal="center" vertical="center" wrapText="1"/>
      <protection locked="0"/>
    </xf>
    <xf numFmtId="0" fontId="9" fillId="0" borderId="3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left" vertical="center" wrapText="1"/>
    </xf>
    <xf numFmtId="0" fontId="9" fillId="0" borderId="43" xfId="0" applyFont="1" applyBorder="1" applyAlignment="1" applyProtection="1">
      <alignment vertical="center" wrapText="1"/>
      <protection locked="0"/>
    </xf>
    <xf numFmtId="0" fontId="9" fillId="0" borderId="44" xfId="0" applyFont="1" applyBorder="1" applyAlignment="1" applyProtection="1">
      <alignment vertical="center" wrapText="1"/>
      <protection locked="0"/>
    </xf>
    <xf numFmtId="0" fontId="9" fillId="0" borderId="45" xfId="0" applyFont="1" applyBorder="1" applyAlignment="1">
      <alignment horizontal="left" vertical="center" wrapText="1"/>
    </xf>
    <xf numFmtId="0" fontId="9" fillId="0" borderId="46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4" borderId="29" xfId="0" applyFont="1" applyFill="1" applyBorder="1" applyAlignment="1" applyProtection="1">
      <alignment horizontal="center" vertical="center" wrapText="1"/>
      <protection locked="0"/>
    </xf>
    <xf numFmtId="0" fontId="9" fillId="4" borderId="27" xfId="0" applyFont="1" applyFill="1" applyBorder="1" applyAlignment="1" applyProtection="1">
      <alignment horizontal="center" vertical="center" wrapText="1"/>
      <protection locked="0"/>
    </xf>
    <xf numFmtId="0" fontId="9" fillId="4" borderId="30" xfId="0" applyFont="1" applyFill="1" applyBorder="1" applyAlignment="1" applyProtection="1">
      <alignment horizontal="center" vertical="center" wrapText="1"/>
      <protection locked="0"/>
    </xf>
    <xf numFmtId="9" fontId="1" fillId="3" borderId="29" xfId="0" applyNumberFormat="1" applyFont="1" applyFill="1" applyBorder="1" applyAlignment="1">
      <alignment horizontal="center" vertical="center" wrapText="1"/>
    </xf>
    <xf numFmtId="9" fontId="1" fillId="3" borderId="27" xfId="0" applyNumberFormat="1" applyFont="1" applyFill="1" applyBorder="1" applyAlignment="1">
      <alignment horizontal="center" vertical="center" wrapText="1"/>
    </xf>
    <xf numFmtId="9" fontId="1" fillId="3" borderId="3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72"/>
  <sheetViews>
    <sheetView tabSelected="1" zoomScale="70" zoomScaleNormal="70" workbookViewId="0">
      <selection activeCell="C50" sqref="C50:H50"/>
    </sheetView>
  </sheetViews>
  <sheetFormatPr baseColWidth="10" defaultColWidth="11.42578125" defaultRowHeight="15.75" x14ac:dyDescent="0.25"/>
  <cols>
    <col min="1" max="1" width="3.28515625" style="32" customWidth="1"/>
    <col min="2" max="2" width="7.7109375" style="33" customWidth="1"/>
    <col min="3" max="5" width="7.7109375" style="34" customWidth="1"/>
    <col min="6" max="6" width="11.42578125" style="34"/>
    <col min="7" max="8" width="21.42578125" style="34" customWidth="1"/>
    <col min="9" max="9" width="21.85546875" style="33" customWidth="1"/>
    <col min="10" max="10" width="70.140625" style="34" customWidth="1"/>
    <col min="11" max="11" width="15.7109375" style="37" customWidth="1"/>
    <col min="12" max="13" width="11.42578125" style="37"/>
    <col min="14" max="16384" width="11.42578125" style="32"/>
  </cols>
  <sheetData>
    <row r="1" spans="2:13" ht="16.5" thickBot="1" x14ac:dyDescent="0.3"/>
    <row r="2" spans="2:13" ht="36" customHeight="1" thickBot="1" x14ac:dyDescent="0.3">
      <c r="B2" s="38" t="s">
        <v>10</v>
      </c>
      <c r="C2" s="39"/>
      <c r="D2" s="39"/>
      <c r="E2" s="39"/>
      <c r="F2" s="39"/>
      <c r="G2" s="39"/>
      <c r="H2" s="39"/>
      <c r="I2" s="39"/>
      <c r="J2" s="39"/>
      <c r="K2" s="39"/>
      <c r="L2" s="38" t="s">
        <v>76</v>
      </c>
      <c r="M2" s="40"/>
    </row>
    <row r="3" spans="2:13" x14ac:dyDescent="0.25">
      <c r="C3" s="33"/>
      <c r="E3" s="33"/>
      <c r="L3" s="41"/>
      <c r="M3" s="41"/>
    </row>
    <row r="4" spans="2:13" ht="26.25" customHeight="1" x14ac:dyDescent="0.25">
      <c r="C4" s="33"/>
      <c r="E4" s="42"/>
      <c r="F4" s="42"/>
      <c r="G4" s="42"/>
      <c r="H4" s="42"/>
      <c r="I4" s="42"/>
      <c r="J4" s="42"/>
      <c r="K4" s="37" t="s">
        <v>0</v>
      </c>
      <c r="L4" s="43"/>
      <c r="M4" s="43"/>
    </row>
    <row r="5" spans="2:13" ht="26.25" customHeight="1" x14ac:dyDescent="0.25">
      <c r="E5" s="42"/>
      <c r="F5" s="42"/>
      <c r="G5" s="42"/>
      <c r="H5" s="42"/>
      <c r="I5" s="42"/>
      <c r="J5" s="42"/>
      <c r="K5" s="37" t="s">
        <v>1</v>
      </c>
      <c r="L5" s="44"/>
      <c r="M5" s="44"/>
    </row>
    <row r="6" spans="2:13" ht="16.5" thickBot="1" x14ac:dyDescent="0.3">
      <c r="L6" s="45"/>
      <c r="M6" s="45"/>
    </row>
    <row r="7" spans="2:13" s="34" customFormat="1" ht="28.5" customHeight="1" thickBot="1" x14ac:dyDescent="0.3">
      <c r="B7" s="9" t="s">
        <v>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2:13" s="50" customFormat="1" ht="74.25" customHeight="1" thickBot="1" x14ac:dyDescent="0.3">
      <c r="B8" s="137" t="s">
        <v>87</v>
      </c>
      <c r="C8" s="138"/>
      <c r="D8" s="138"/>
      <c r="E8" s="138"/>
      <c r="F8" s="138"/>
      <c r="G8" s="138"/>
      <c r="H8" s="138"/>
      <c r="I8" s="139" t="s">
        <v>2</v>
      </c>
      <c r="J8" s="83" t="s">
        <v>11</v>
      </c>
      <c r="K8" s="84"/>
      <c r="L8" s="84"/>
      <c r="M8" s="85"/>
    </row>
    <row r="9" spans="2:13" ht="55.5" customHeight="1" x14ac:dyDescent="0.25">
      <c r="B9" s="133" t="s">
        <v>48</v>
      </c>
      <c r="C9" s="134" t="s">
        <v>29</v>
      </c>
      <c r="D9" s="134"/>
      <c r="E9" s="134"/>
      <c r="F9" s="134"/>
      <c r="G9" s="134"/>
      <c r="H9" s="134"/>
      <c r="I9" s="132">
        <v>3</v>
      </c>
      <c r="J9" s="135"/>
      <c r="K9" s="135"/>
      <c r="L9" s="135"/>
      <c r="M9" s="136"/>
    </row>
    <row r="10" spans="2:13" ht="55.5" customHeight="1" x14ac:dyDescent="0.25">
      <c r="B10" s="51" t="s">
        <v>49</v>
      </c>
      <c r="C10" s="52" t="s">
        <v>30</v>
      </c>
      <c r="D10" s="52"/>
      <c r="E10" s="52"/>
      <c r="F10" s="52"/>
      <c r="G10" s="52"/>
      <c r="H10" s="52"/>
      <c r="I10" s="53">
        <v>3</v>
      </c>
      <c r="J10" s="54"/>
      <c r="K10" s="54"/>
      <c r="L10" s="54"/>
      <c r="M10" s="55"/>
    </row>
    <row r="11" spans="2:13" ht="55.5" customHeight="1" x14ac:dyDescent="0.25">
      <c r="B11" s="51" t="s">
        <v>50</v>
      </c>
      <c r="C11" s="52" t="s">
        <v>31</v>
      </c>
      <c r="D11" s="52"/>
      <c r="E11" s="52"/>
      <c r="F11" s="52"/>
      <c r="G11" s="52"/>
      <c r="H11" s="52"/>
      <c r="I11" s="53">
        <v>3</v>
      </c>
      <c r="J11" s="54"/>
      <c r="K11" s="54"/>
      <c r="L11" s="54"/>
      <c r="M11" s="55"/>
    </row>
    <row r="12" spans="2:13" ht="55.5" customHeight="1" x14ac:dyDescent="0.25">
      <c r="B12" s="51" t="s">
        <v>51</v>
      </c>
      <c r="C12" s="52" t="s">
        <v>32</v>
      </c>
      <c r="D12" s="52"/>
      <c r="E12" s="52"/>
      <c r="F12" s="52"/>
      <c r="G12" s="52"/>
      <c r="H12" s="52"/>
      <c r="I12" s="53">
        <v>3</v>
      </c>
      <c r="J12" s="54"/>
      <c r="K12" s="54"/>
      <c r="L12" s="54"/>
      <c r="M12" s="55"/>
    </row>
    <row r="13" spans="2:13" ht="55.5" customHeight="1" x14ac:dyDescent="0.25">
      <c r="B13" s="51" t="s">
        <v>52</v>
      </c>
      <c r="C13" s="52" t="s">
        <v>33</v>
      </c>
      <c r="D13" s="52"/>
      <c r="E13" s="52"/>
      <c r="F13" s="52"/>
      <c r="G13" s="52"/>
      <c r="H13" s="52"/>
      <c r="I13" s="53">
        <v>3</v>
      </c>
      <c r="J13" s="54"/>
      <c r="K13" s="54"/>
      <c r="L13" s="54"/>
      <c r="M13" s="55"/>
    </row>
    <row r="14" spans="2:13" ht="55.5" customHeight="1" x14ac:dyDescent="0.25">
      <c r="B14" s="51" t="s">
        <v>53</v>
      </c>
      <c r="C14" s="52" t="s">
        <v>34</v>
      </c>
      <c r="D14" s="52"/>
      <c r="E14" s="52"/>
      <c r="F14" s="52"/>
      <c r="G14" s="52"/>
      <c r="H14" s="52"/>
      <c r="I14" s="53">
        <v>3</v>
      </c>
      <c r="J14" s="54"/>
      <c r="K14" s="54"/>
      <c r="L14" s="54"/>
      <c r="M14" s="55"/>
    </row>
    <row r="15" spans="2:13" ht="55.5" customHeight="1" x14ac:dyDescent="0.25">
      <c r="B15" s="51" t="s">
        <v>54</v>
      </c>
      <c r="C15" s="52" t="s">
        <v>35</v>
      </c>
      <c r="D15" s="52"/>
      <c r="E15" s="52"/>
      <c r="F15" s="52"/>
      <c r="G15" s="52"/>
      <c r="H15" s="52"/>
      <c r="I15" s="53">
        <v>3</v>
      </c>
      <c r="J15" s="54"/>
      <c r="K15" s="54"/>
      <c r="L15" s="54"/>
      <c r="M15" s="55"/>
    </row>
    <row r="16" spans="2:13" ht="55.5" customHeight="1" x14ac:dyDescent="0.25">
      <c r="B16" s="51" t="s">
        <v>55</v>
      </c>
      <c r="C16" s="52" t="s">
        <v>36</v>
      </c>
      <c r="D16" s="52"/>
      <c r="E16" s="52"/>
      <c r="F16" s="52"/>
      <c r="G16" s="52"/>
      <c r="H16" s="52"/>
      <c r="I16" s="53">
        <v>3</v>
      </c>
      <c r="J16" s="54"/>
      <c r="K16" s="54"/>
      <c r="L16" s="54"/>
      <c r="M16" s="55"/>
    </row>
    <row r="17" spans="2:13" ht="55.5" customHeight="1" x14ac:dyDescent="0.25">
      <c r="B17" s="51" t="s">
        <v>68</v>
      </c>
      <c r="C17" s="52" t="s">
        <v>37</v>
      </c>
      <c r="D17" s="52"/>
      <c r="E17" s="52"/>
      <c r="F17" s="52"/>
      <c r="G17" s="52"/>
      <c r="H17" s="52"/>
      <c r="I17" s="53">
        <v>3</v>
      </c>
      <c r="J17" s="54"/>
      <c r="K17" s="54"/>
      <c r="L17" s="54"/>
      <c r="M17" s="55"/>
    </row>
    <row r="18" spans="2:13" ht="55.5" customHeight="1" x14ac:dyDescent="0.25">
      <c r="B18" s="51" t="s">
        <v>69</v>
      </c>
      <c r="C18" s="52" t="s">
        <v>38</v>
      </c>
      <c r="D18" s="52"/>
      <c r="E18" s="52"/>
      <c r="F18" s="52"/>
      <c r="G18" s="52"/>
      <c r="H18" s="52"/>
      <c r="I18" s="53">
        <v>3</v>
      </c>
      <c r="J18" s="54"/>
      <c r="K18" s="54"/>
      <c r="L18" s="54"/>
      <c r="M18" s="55"/>
    </row>
    <row r="19" spans="2:13" ht="55.5" customHeight="1" x14ac:dyDescent="0.25">
      <c r="B19" s="51" t="s">
        <v>89</v>
      </c>
      <c r="C19" s="52" t="s">
        <v>39</v>
      </c>
      <c r="D19" s="52"/>
      <c r="E19" s="52"/>
      <c r="F19" s="52"/>
      <c r="G19" s="52"/>
      <c r="H19" s="52"/>
      <c r="I19" s="53">
        <v>3</v>
      </c>
      <c r="J19" s="54"/>
      <c r="K19" s="54"/>
      <c r="L19" s="54"/>
      <c r="M19" s="55"/>
    </row>
    <row r="20" spans="2:13" ht="55.5" customHeight="1" x14ac:dyDescent="0.25">
      <c r="B20" s="51" t="s">
        <v>90</v>
      </c>
      <c r="C20" s="52" t="s">
        <v>40</v>
      </c>
      <c r="D20" s="52"/>
      <c r="E20" s="52"/>
      <c r="F20" s="52"/>
      <c r="G20" s="52"/>
      <c r="H20" s="52"/>
      <c r="I20" s="53">
        <v>3</v>
      </c>
      <c r="J20" s="54"/>
      <c r="K20" s="54"/>
      <c r="L20" s="54"/>
      <c r="M20" s="55"/>
    </row>
    <row r="21" spans="2:13" ht="55.5" customHeight="1" thickBot="1" x14ac:dyDescent="0.3">
      <c r="B21" s="56" t="s">
        <v>91</v>
      </c>
      <c r="C21" s="57" t="s">
        <v>41</v>
      </c>
      <c r="D21" s="57"/>
      <c r="E21" s="57"/>
      <c r="F21" s="57"/>
      <c r="G21" s="57"/>
      <c r="H21" s="57"/>
      <c r="I21" s="58">
        <v>3</v>
      </c>
      <c r="J21" s="59"/>
      <c r="K21" s="59"/>
      <c r="L21" s="59"/>
      <c r="M21" s="60"/>
    </row>
    <row r="22" spans="2:13" ht="15" customHeight="1" thickBot="1" x14ac:dyDescent="0.3">
      <c r="C22" s="61"/>
      <c r="D22" s="61"/>
      <c r="E22" s="61"/>
      <c r="F22" s="61"/>
      <c r="G22" s="61"/>
      <c r="H22" s="61"/>
    </row>
    <row r="23" spans="2:13" s="34" customFormat="1" ht="26.25" customHeight="1" thickBot="1" x14ac:dyDescent="0.3">
      <c r="B23" s="9" t="s">
        <v>59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4" spans="2:13" s="34" customFormat="1" ht="35.25" customHeight="1" thickBot="1" x14ac:dyDescent="0.3">
      <c r="B24" s="46" t="s">
        <v>4</v>
      </c>
      <c r="C24" s="47"/>
      <c r="D24" s="47"/>
      <c r="E24" s="47"/>
      <c r="F24" s="47"/>
      <c r="G24" s="47"/>
      <c r="H24" s="48"/>
      <c r="I24" s="49" t="s">
        <v>2</v>
      </c>
      <c r="J24" s="46" t="s">
        <v>3</v>
      </c>
      <c r="K24" s="47"/>
      <c r="L24" s="47"/>
      <c r="M24" s="48"/>
    </row>
    <row r="25" spans="2:13" s="34" customFormat="1" ht="51" customHeight="1" x14ac:dyDescent="0.25">
      <c r="B25" s="62" t="s">
        <v>48</v>
      </c>
      <c r="C25" s="63" t="s">
        <v>13</v>
      </c>
      <c r="D25" s="64"/>
      <c r="E25" s="64"/>
      <c r="F25" s="64"/>
      <c r="G25" s="64"/>
      <c r="H25" s="65"/>
      <c r="I25" s="66">
        <v>3</v>
      </c>
      <c r="J25" s="67"/>
      <c r="K25" s="67"/>
      <c r="L25" s="67"/>
      <c r="M25" s="68"/>
    </row>
    <row r="26" spans="2:13" s="34" customFormat="1" ht="51" customHeight="1" x14ac:dyDescent="0.25">
      <c r="B26" s="51" t="s">
        <v>49</v>
      </c>
      <c r="C26" s="69" t="s">
        <v>88</v>
      </c>
      <c r="D26" s="70"/>
      <c r="E26" s="70"/>
      <c r="F26" s="70"/>
      <c r="G26" s="70"/>
      <c r="H26" s="71"/>
      <c r="I26" s="53">
        <v>3</v>
      </c>
      <c r="J26" s="54"/>
      <c r="K26" s="54"/>
      <c r="L26" s="54"/>
      <c r="M26" s="55"/>
    </row>
    <row r="27" spans="2:13" s="34" customFormat="1" ht="44.25" customHeight="1" x14ac:dyDescent="0.25">
      <c r="B27" s="51" t="s">
        <v>50</v>
      </c>
      <c r="C27" s="69" t="s">
        <v>42</v>
      </c>
      <c r="D27" s="70"/>
      <c r="E27" s="70"/>
      <c r="F27" s="70"/>
      <c r="G27" s="70"/>
      <c r="H27" s="71"/>
      <c r="I27" s="53">
        <v>3</v>
      </c>
      <c r="J27" s="54"/>
      <c r="K27" s="54"/>
      <c r="L27" s="54"/>
      <c r="M27" s="55"/>
    </row>
    <row r="28" spans="2:13" s="34" customFormat="1" ht="54" customHeight="1" x14ac:dyDescent="0.25">
      <c r="B28" s="51" t="s">
        <v>51</v>
      </c>
      <c r="C28" s="69" t="s">
        <v>14</v>
      </c>
      <c r="D28" s="70"/>
      <c r="E28" s="70"/>
      <c r="F28" s="70"/>
      <c r="G28" s="70"/>
      <c r="H28" s="71"/>
      <c r="I28" s="53">
        <v>3</v>
      </c>
      <c r="J28" s="72"/>
      <c r="K28" s="72"/>
      <c r="L28" s="72"/>
      <c r="M28" s="73"/>
    </row>
    <row r="29" spans="2:13" s="34" customFormat="1" ht="54.6" customHeight="1" x14ac:dyDescent="0.25">
      <c r="B29" s="51" t="s">
        <v>52</v>
      </c>
      <c r="C29" s="69" t="s">
        <v>19</v>
      </c>
      <c r="D29" s="70"/>
      <c r="E29" s="70"/>
      <c r="F29" s="70"/>
      <c r="G29" s="70"/>
      <c r="H29" s="71"/>
      <c r="I29" s="53">
        <v>3</v>
      </c>
      <c r="J29" s="54"/>
      <c r="K29" s="54"/>
      <c r="L29" s="54"/>
      <c r="M29" s="55"/>
    </row>
    <row r="30" spans="2:13" s="34" customFormat="1" ht="54.6" customHeight="1" x14ac:dyDescent="0.25">
      <c r="B30" s="51" t="s">
        <v>53</v>
      </c>
      <c r="C30" s="69" t="s">
        <v>43</v>
      </c>
      <c r="D30" s="70"/>
      <c r="E30" s="70"/>
      <c r="F30" s="70"/>
      <c r="G30" s="70"/>
      <c r="H30" s="71"/>
      <c r="I30" s="53">
        <v>3</v>
      </c>
      <c r="J30" s="72"/>
      <c r="K30" s="72"/>
      <c r="L30" s="72"/>
      <c r="M30" s="73"/>
    </row>
    <row r="31" spans="2:13" s="34" customFormat="1" ht="54.6" customHeight="1" x14ac:dyDescent="0.25">
      <c r="B31" s="51" t="s">
        <v>54</v>
      </c>
      <c r="C31" s="69" t="s">
        <v>44</v>
      </c>
      <c r="D31" s="70"/>
      <c r="E31" s="70"/>
      <c r="F31" s="70"/>
      <c r="G31" s="70"/>
      <c r="H31" s="71"/>
      <c r="I31" s="53">
        <v>3</v>
      </c>
      <c r="J31" s="72"/>
      <c r="K31" s="72"/>
      <c r="L31" s="72"/>
      <c r="M31" s="73"/>
    </row>
    <row r="32" spans="2:13" s="34" customFormat="1" ht="54.6" customHeight="1" x14ac:dyDescent="0.25">
      <c r="B32" s="51" t="s">
        <v>55</v>
      </c>
      <c r="C32" s="69" t="s">
        <v>46</v>
      </c>
      <c r="D32" s="70"/>
      <c r="E32" s="70"/>
      <c r="F32" s="70"/>
      <c r="G32" s="70"/>
      <c r="H32" s="71"/>
      <c r="I32" s="53">
        <v>3</v>
      </c>
      <c r="J32" s="72"/>
      <c r="K32" s="72"/>
      <c r="L32" s="72"/>
      <c r="M32" s="73"/>
    </row>
    <row r="33" spans="2:13" s="34" customFormat="1" ht="54.6" customHeight="1" x14ac:dyDescent="0.25">
      <c r="B33" s="51" t="s">
        <v>68</v>
      </c>
      <c r="C33" s="69" t="s">
        <v>45</v>
      </c>
      <c r="D33" s="70"/>
      <c r="E33" s="70"/>
      <c r="F33" s="70"/>
      <c r="G33" s="70"/>
      <c r="H33" s="71"/>
      <c r="I33" s="74">
        <v>3</v>
      </c>
      <c r="J33" s="72"/>
      <c r="K33" s="72"/>
      <c r="L33" s="72"/>
      <c r="M33" s="73"/>
    </row>
    <row r="34" spans="2:13" s="34" customFormat="1" ht="56.25" customHeight="1" thickBot="1" x14ac:dyDescent="0.3">
      <c r="B34" s="56" t="s">
        <v>69</v>
      </c>
      <c r="C34" s="75" t="s">
        <v>47</v>
      </c>
      <c r="D34" s="76"/>
      <c r="E34" s="76"/>
      <c r="F34" s="76"/>
      <c r="G34" s="76"/>
      <c r="H34" s="77"/>
      <c r="I34" s="78">
        <v>3</v>
      </c>
      <c r="J34" s="79"/>
      <c r="K34" s="79"/>
      <c r="L34" s="79"/>
      <c r="M34" s="80"/>
    </row>
    <row r="35" spans="2:13" s="34" customFormat="1" ht="15" customHeight="1" thickBot="1" x14ac:dyDescent="0.3">
      <c r="B35" s="81"/>
      <c r="C35" s="81"/>
      <c r="D35" s="81"/>
      <c r="E35" s="81"/>
      <c r="F35" s="81"/>
      <c r="G35" s="81"/>
      <c r="H35" s="81"/>
      <c r="I35" s="33"/>
      <c r="J35" s="82"/>
      <c r="K35" s="82"/>
      <c r="L35" s="82"/>
      <c r="M35" s="82"/>
    </row>
    <row r="36" spans="2:13" s="34" customFormat="1" ht="16.5" customHeight="1" thickBot="1" x14ac:dyDescent="0.3">
      <c r="B36" s="9" t="s">
        <v>27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</row>
    <row r="37" spans="2:13" s="34" customFormat="1" ht="33" customHeight="1" thickBot="1" x14ac:dyDescent="0.3">
      <c r="B37" s="46" t="s">
        <v>4</v>
      </c>
      <c r="C37" s="47"/>
      <c r="D37" s="47"/>
      <c r="E37" s="47"/>
      <c r="F37" s="47"/>
      <c r="G37" s="47"/>
      <c r="H37" s="48"/>
      <c r="I37" s="49" t="s">
        <v>2</v>
      </c>
      <c r="J37" s="83" t="s">
        <v>3</v>
      </c>
      <c r="K37" s="84"/>
      <c r="L37" s="84"/>
      <c r="M37" s="85"/>
    </row>
    <row r="38" spans="2:13" s="34" customFormat="1" ht="33" customHeight="1" x14ac:dyDescent="0.25">
      <c r="B38" s="86" t="s">
        <v>48</v>
      </c>
      <c r="C38" s="63" t="s">
        <v>15</v>
      </c>
      <c r="D38" s="64"/>
      <c r="E38" s="64"/>
      <c r="F38" s="64"/>
      <c r="G38" s="64"/>
      <c r="H38" s="87"/>
      <c r="I38" s="88">
        <v>3</v>
      </c>
      <c r="J38" s="89"/>
      <c r="K38" s="67"/>
      <c r="L38" s="67"/>
      <c r="M38" s="68"/>
    </row>
    <row r="39" spans="2:13" s="34" customFormat="1" ht="39.6" customHeight="1" x14ac:dyDescent="0.25">
      <c r="B39" s="90" t="s">
        <v>49</v>
      </c>
      <c r="C39" s="69" t="s">
        <v>18</v>
      </c>
      <c r="D39" s="70"/>
      <c r="E39" s="70"/>
      <c r="F39" s="70"/>
      <c r="G39" s="70"/>
      <c r="H39" s="91"/>
      <c r="I39" s="92">
        <v>3</v>
      </c>
      <c r="J39" s="93"/>
      <c r="K39" s="94"/>
      <c r="L39" s="94"/>
      <c r="M39" s="95"/>
    </row>
    <row r="40" spans="2:13" s="34" customFormat="1" ht="36.950000000000003" customHeight="1" x14ac:dyDescent="0.25">
      <c r="B40" s="90" t="s">
        <v>50</v>
      </c>
      <c r="C40" s="69" t="s">
        <v>26</v>
      </c>
      <c r="D40" s="70"/>
      <c r="E40" s="70"/>
      <c r="F40" s="70"/>
      <c r="G40" s="70"/>
      <c r="H40" s="91"/>
      <c r="I40" s="92">
        <v>3</v>
      </c>
      <c r="J40" s="96"/>
      <c r="K40" s="54"/>
      <c r="L40" s="54"/>
      <c r="M40" s="55"/>
    </row>
    <row r="41" spans="2:13" s="34" customFormat="1" ht="36.950000000000003" customHeight="1" x14ac:dyDescent="0.25">
      <c r="B41" s="90" t="s">
        <v>51</v>
      </c>
      <c r="C41" s="69" t="s">
        <v>62</v>
      </c>
      <c r="D41" s="70"/>
      <c r="E41" s="70"/>
      <c r="F41" s="70"/>
      <c r="G41" s="70"/>
      <c r="H41" s="91"/>
      <c r="I41" s="97">
        <v>3</v>
      </c>
      <c r="J41" s="98"/>
      <c r="K41" s="99"/>
      <c r="L41" s="99"/>
      <c r="M41" s="100"/>
    </row>
    <row r="42" spans="2:13" s="34" customFormat="1" ht="37.5" customHeight="1" x14ac:dyDescent="0.25">
      <c r="B42" s="90" t="s">
        <v>52</v>
      </c>
      <c r="C42" s="69" t="s">
        <v>20</v>
      </c>
      <c r="D42" s="70"/>
      <c r="E42" s="70"/>
      <c r="F42" s="70"/>
      <c r="G42" s="70"/>
      <c r="H42" s="91"/>
      <c r="I42" s="97">
        <v>3</v>
      </c>
      <c r="J42" s="101"/>
      <c r="K42" s="102"/>
      <c r="L42" s="102"/>
      <c r="M42" s="103"/>
    </row>
    <row r="43" spans="2:13" s="34" customFormat="1" ht="42" customHeight="1" thickBot="1" x14ac:dyDescent="0.3">
      <c r="B43" s="104" t="s">
        <v>53</v>
      </c>
      <c r="C43" s="75" t="s">
        <v>21</v>
      </c>
      <c r="D43" s="76"/>
      <c r="E43" s="76"/>
      <c r="F43" s="76"/>
      <c r="G43" s="76"/>
      <c r="H43" s="105"/>
      <c r="I43" s="106">
        <v>3</v>
      </c>
      <c r="J43" s="107"/>
      <c r="K43" s="108"/>
      <c r="L43" s="108"/>
      <c r="M43" s="109"/>
    </row>
    <row r="44" spans="2:13" s="34" customFormat="1" ht="16.5" customHeight="1" thickBot="1" x14ac:dyDescent="0.3">
      <c r="B44" s="33"/>
      <c r="I44" s="33"/>
    </row>
    <row r="45" spans="2:13" s="34" customFormat="1" ht="16.5" thickBot="1" x14ac:dyDescent="0.3">
      <c r="B45" s="9" t="s">
        <v>28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6" spans="2:13" s="34" customFormat="1" ht="32.25" thickBot="1" x14ac:dyDescent="0.3">
      <c r="B46" s="83" t="s">
        <v>4</v>
      </c>
      <c r="C46" s="84"/>
      <c r="D46" s="84"/>
      <c r="E46" s="84"/>
      <c r="F46" s="84"/>
      <c r="G46" s="84"/>
      <c r="H46" s="85"/>
      <c r="I46" s="49" t="s">
        <v>2</v>
      </c>
      <c r="J46" s="83" t="s">
        <v>3</v>
      </c>
      <c r="K46" s="84"/>
      <c r="L46" s="84"/>
      <c r="M46" s="85"/>
    </row>
    <row r="47" spans="2:13" s="34" customFormat="1" ht="38.1" customHeight="1" x14ac:dyDescent="0.25">
      <c r="B47" s="62" t="s">
        <v>48</v>
      </c>
      <c r="C47" s="63" t="s">
        <v>15</v>
      </c>
      <c r="D47" s="64"/>
      <c r="E47" s="64"/>
      <c r="F47" s="64"/>
      <c r="G47" s="64"/>
      <c r="H47" s="87"/>
      <c r="I47" s="88">
        <v>3</v>
      </c>
      <c r="J47" s="89"/>
      <c r="K47" s="67"/>
      <c r="L47" s="67"/>
      <c r="M47" s="68"/>
    </row>
    <row r="48" spans="2:13" s="34" customFormat="1" ht="46.5" customHeight="1" x14ac:dyDescent="0.25">
      <c r="B48" s="90" t="s">
        <v>49</v>
      </c>
      <c r="C48" s="69" t="s">
        <v>22</v>
      </c>
      <c r="D48" s="70"/>
      <c r="E48" s="70"/>
      <c r="F48" s="70"/>
      <c r="G48" s="70"/>
      <c r="H48" s="91"/>
      <c r="I48" s="92">
        <v>3</v>
      </c>
      <c r="J48" s="93"/>
      <c r="K48" s="94"/>
      <c r="L48" s="94"/>
      <c r="M48" s="95"/>
    </row>
    <row r="49" spans="2:13" s="34" customFormat="1" ht="46.5" customHeight="1" x14ac:dyDescent="0.25">
      <c r="B49" s="90" t="s">
        <v>50</v>
      </c>
      <c r="C49" s="69" t="s">
        <v>23</v>
      </c>
      <c r="D49" s="70"/>
      <c r="E49" s="70"/>
      <c r="F49" s="70"/>
      <c r="G49" s="70"/>
      <c r="H49" s="91"/>
      <c r="I49" s="92">
        <v>3</v>
      </c>
      <c r="J49" s="96"/>
      <c r="K49" s="54"/>
      <c r="L49" s="54"/>
      <c r="M49" s="55"/>
    </row>
    <row r="50" spans="2:13" s="34" customFormat="1" ht="46.5" customHeight="1" x14ac:dyDescent="0.25">
      <c r="B50" s="90" t="s">
        <v>51</v>
      </c>
      <c r="C50" s="69" t="s">
        <v>62</v>
      </c>
      <c r="D50" s="70"/>
      <c r="E50" s="70"/>
      <c r="F50" s="70"/>
      <c r="G50" s="70"/>
      <c r="H50" s="91"/>
      <c r="I50" s="97">
        <v>3</v>
      </c>
      <c r="J50" s="98"/>
      <c r="K50" s="99"/>
      <c r="L50" s="99"/>
      <c r="M50" s="100"/>
    </row>
    <row r="51" spans="2:13" s="34" customFormat="1" ht="28.5" customHeight="1" x14ac:dyDescent="0.25">
      <c r="B51" s="90" t="s">
        <v>52</v>
      </c>
      <c r="C51" s="69" t="s">
        <v>16</v>
      </c>
      <c r="D51" s="70"/>
      <c r="E51" s="70"/>
      <c r="F51" s="70"/>
      <c r="G51" s="70"/>
      <c r="H51" s="91"/>
      <c r="I51" s="97">
        <v>3</v>
      </c>
      <c r="J51" s="101"/>
      <c r="K51" s="102"/>
      <c r="L51" s="102"/>
      <c r="M51" s="103"/>
    </row>
    <row r="52" spans="2:13" s="34" customFormat="1" ht="37.5" customHeight="1" thickBot="1" x14ac:dyDescent="0.3">
      <c r="B52" s="104" t="s">
        <v>53</v>
      </c>
      <c r="C52" s="75" t="s">
        <v>24</v>
      </c>
      <c r="D52" s="76"/>
      <c r="E52" s="76"/>
      <c r="F52" s="76"/>
      <c r="G52" s="76"/>
      <c r="H52" s="105"/>
      <c r="I52" s="110">
        <v>3</v>
      </c>
      <c r="J52" s="107"/>
      <c r="K52" s="108"/>
      <c r="L52" s="108"/>
      <c r="M52" s="109"/>
    </row>
    <row r="53" spans="2:13" s="34" customFormat="1" ht="16.5" thickBot="1" x14ac:dyDescent="0.3">
      <c r="B53" s="41"/>
      <c r="C53" s="37"/>
      <c r="D53" s="37"/>
      <c r="E53" s="37"/>
      <c r="F53" s="37"/>
      <c r="G53" s="37"/>
      <c r="H53" s="37"/>
      <c r="I53" s="41"/>
      <c r="J53" s="37"/>
      <c r="K53" s="37"/>
      <c r="L53" s="37"/>
      <c r="M53" s="37"/>
    </row>
    <row r="54" spans="2:13" s="37" customFormat="1" ht="16.5" thickBot="1" x14ac:dyDescent="0.3">
      <c r="B54" s="9" t="s">
        <v>17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1"/>
    </row>
    <row r="55" spans="2:13" s="37" customFormat="1" ht="32.25" thickBot="1" x14ac:dyDescent="0.3">
      <c r="B55" s="83" t="s">
        <v>4</v>
      </c>
      <c r="C55" s="84"/>
      <c r="D55" s="84"/>
      <c r="E55" s="84"/>
      <c r="F55" s="84"/>
      <c r="G55" s="84"/>
      <c r="H55" s="85"/>
      <c r="I55" s="49" t="s">
        <v>2</v>
      </c>
      <c r="J55" s="83" t="s">
        <v>3</v>
      </c>
      <c r="K55" s="84"/>
      <c r="L55" s="84"/>
      <c r="M55" s="85"/>
    </row>
    <row r="56" spans="2:13" s="114" customFormat="1" ht="46.5" customHeight="1" x14ac:dyDescent="0.25">
      <c r="B56" s="62" t="s">
        <v>48</v>
      </c>
      <c r="C56" s="63" t="s">
        <v>63</v>
      </c>
      <c r="D56" s="64"/>
      <c r="E56" s="64"/>
      <c r="F56" s="64"/>
      <c r="G56" s="64"/>
      <c r="H56" s="87"/>
      <c r="I56" s="140">
        <v>3</v>
      </c>
      <c r="J56" s="111"/>
      <c r="K56" s="112"/>
      <c r="L56" s="112"/>
      <c r="M56" s="113"/>
    </row>
    <row r="57" spans="2:13" s="114" customFormat="1" ht="46.5" customHeight="1" x14ac:dyDescent="0.25">
      <c r="B57" s="90" t="s">
        <v>49</v>
      </c>
      <c r="C57" s="69" t="s">
        <v>64</v>
      </c>
      <c r="D57" s="70"/>
      <c r="E57" s="70"/>
      <c r="F57" s="70"/>
      <c r="G57" s="70"/>
      <c r="H57" s="91"/>
      <c r="I57" s="141">
        <v>3</v>
      </c>
      <c r="J57" s="115"/>
      <c r="K57" s="116"/>
      <c r="L57" s="116"/>
      <c r="M57" s="117"/>
    </row>
    <row r="58" spans="2:13" s="114" customFormat="1" ht="46.5" customHeight="1" x14ac:dyDescent="0.25">
      <c r="B58" s="90" t="s">
        <v>50</v>
      </c>
      <c r="C58" s="69" t="s">
        <v>65</v>
      </c>
      <c r="D58" s="70"/>
      <c r="E58" s="70"/>
      <c r="F58" s="70"/>
      <c r="G58" s="70"/>
      <c r="H58" s="91"/>
      <c r="I58" s="141">
        <v>3</v>
      </c>
      <c r="J58" s="118"/>
      <c r="K58" s="72"/>
      <c r="L58" s="72"/>
      <c r="M58" s="73"/>
    </row>
    <row r="59" spans="2:13" s="114" customFormat="1" ht="46.5" customHeight="1" x14ac:dyDescent="0.25">
      <c r="B59" s="119" t="s">
        <v>51</v>
      </c>
      <c r="C59" s="69" t="s">
        <v>77</v>
      </c>
      <c r="D59" s="70"/>
      <c r="E59" s="70"/>
      <c r="F59" s="70"/>
      <c r="G59" s="70"/>
      <c r="H59" s="91"/>
      <c r="I59" s="141">
        <v>3</v>
      </c>
      <c r="J59" s="120"/>
      <c r="K59" s="120"/>
      <c r="L59" s="120"/>
      <c r="M59" s="120"/>
    </row>
    <row r="60" spans="2:13" s="114" customFormat="1" ht="46.5" customHeight="1" x14ac:dyDescent="0.25">
      <c r="B60" s="119" t="s">
        <v>52</v>
      </c>
      <c r="C60" s="69" t="s">
        <v>66</v>
      </c>
      <c r="D60" s="70"/>
      <c r="E60" s="70"/>
      <c r="F60" s="70"/>
      <c r="G60" s="70"/>
      <c r="H60" s="91"/>
      <c r="I60" s="141">
        <v>3</v>
      </c>
      <c r="J60" s="70"/>
      <c r="K60" s="70"/>
      <c r="L60" s="70"/>
      <c r="M60" s="71"/>
    </row>
    <row r="61" spans="2:13" s="114" customFormat="1" ht="46.5" customHeight="1" thickBot="1" x14ac:dyDescent="0.3">
      <c r="B61" s="104" t="s">
        <v>53</v>
      </c>
      <c r="C61" s="75" t="s">
        <v>67</v>
      </c>
      <c r="D61" s="76"/>
      <c r="E61" s="76"/>
      <c r="F61" s="76"/>
      <c r="G61" s="76"/>
      <c r="H61" s="105"/>
      <c r="I61" s="142">
        <v>3</v>
      </c>
      <c r="J61" s="121"/>
      <c r="K61" s="122"/>
      <c r="L61" s="122"/>
      <c r="M61" s="123"/>
    </row>
    <row r="62" spans="2:13" ht="8.25" customHeight="1" thickBot="1" x14ac:dyDescent="0.3">
      <c r="H62" s="124"/>
      <c r="I62" s="125"/>
    </row>
    <row r="63" spans="2:13" x14ac:dyDescent="0.25">
      <c r="H63" s="126" t="s">
        <v>25</v>
      </c>
      <c r="I63" s="143">
        <f>PONDERACIÓN!H6</f>
        <v>1</v>
      </c>
    </row>
    <row r="64" spans="2:13" x14ac:dyDescent="0.25">
      <c r="H64" s="127"/>
      <c r="I64" s="144"/>
    </row>
    <row r="65" spans="2:11" ht="16.5" thickBot="1" x14ac:dyDescent="0.3">
      <c r="H65" s="128"/>
      <c r="I65" s="145"/>
      <c r="J65" s="129"/>
      <c r="K65" s="129"/>
    </row>
    <row r="66" spans="2:11" x14ac:dyDescent="0.25">
      <c r="B66" s="35" t="s">
        <v>70</v>
      </c>
      <c r="C66" s="35"/>
      <c r="J66" s="129"/>
      <c r="K66" s="129"/>
    </row>
    <row r="67" spans="2:11" x14ac:dyDescent="0.25">
      <c r="B67" s="36" t="s">
        <v>71</v>
      </c>
      <c r="C67" s="36"/>
      <c r="I67" s="41"/>
      <c r="J67" s="129"/>
      <c r="K67" s="129"/>
    </row>
    <row r="68" spans="2:11" x14ac:dyDescent="0.25">
      <c r="B68" s="36" t="s">
        <v>72</v>
      </c>
      <c r="C68" s="36"/>
      <c r="J68" s="129"/>
      <c r="K68" s="129"/>
    </row>
    <row r="69" spans="2:11" x14ac:dyDescent="0.25">
      <c r="B69" s="36" t="s">
        <v>73</v>
      </c>
      <c r="C69" s="36"/>
      <c r="J69" s="129"/>
      <c r="K69" s="129"/>
    </row>
    <row r="70" spans="2:11" x14ac:dyDescent="0.25">
      <c r="B70" s="36" t="s">
        <v>74</v>
      </c>
      <c r="C70" s="36"/>
      <c r="J70" s="129"/>
      <c r="K70" s="129"/>
    </row>
    <row r="71" spans="2:11" x14ac:dyDescent="0.25">
      <c r="B71" s="36" t="s">
        <v>75</v>
      </c>
      <c r="C71" s="31"/>
      <c r="J71" s="129"/>
      <c r="K71" s="129"/>
    </row>
    <row r="72" spans="2:11" x14ac:dyDescent="0.25">
      <c r="J72" s="129"/>
      <c r="K72" s="129"/>
    </row>
  </sheetData>
  <mergeCells count="104">
    <mergeCell ref="C59:H59"/>
    <mergeCell ref="B2:K2"/>
    <mergeCell ref="L2:M2"/>
    <mergeCell ref="C61:H61"/>
    <mergeCell ref="C58:H58"/>
    <mergeCell ref="C57:H57"/>
    <mergeCell ref="C56:H56"/>
    <mergeCell ref="J13:M13"/>
    <mergeCell ref="J14:M14"/>
    <mergeCell ref="J15:M15"/>
    <mergeCell ref="J18:M18"/>
    <mergeCell ref="J20:M20"/>
    <mergeCell ref="C41:H41"/>
    <mergeCell ref="J41:M41"/>
    <mergeCell ref="C50:H50"/>
    <mergeCell ref="J50:M50"/>
    <mergeCell ref="C60:H60"/>
    <mergeCell ref="J60:M60"/>
    <mergeCell ref="C38:H38"/>
    <mergeCell ref="C52:H52"/>
    <mergeCell ref="C51:H51"/>
    <mergeCell ref="C49:H49"/>
    <mergeCell ref="C48:H48"/>
    <mergeCell ref="C47:H47"/>
    <mergeCell ref="J31:M31"/>
    <mergeCell ref="J33:M33"/>
    <mergeCell ref="C33:H33"/>
    <mergeCell ref="C32:H32"/>
    <mergeCell ref="C31:H31"/>
    <mergeCell ref="J32:M32"/>
    <mergeCell ref="J30:M30"/>
    <mergeCell ref="J28:M28"/>
    <mergeCell ref="C30:H30"/>
    <mergeCell ref="C29:H29"/>
    <mergeCell ref="C28:H28"/>
    <mergeCell ref="B23:M23"/>
    <mergeCell ref="J26:M26"/>
    <mergeCell ref="J8:M8"/>
    <mergeCell ref="B8:H8"/>
    <mergeCell ref="J24:M24"/>
    <mergeCell ref="J25:M25"/>
    <mergeCell ref="C26:H26"/>
    <mergeCell ref="C25:H25"/>
    <mergeCell ref="H63:H65"/>
    <mergeCell ref="I63:I65"/>
    <mergeCell ref="J58:M58"/>
    <mergeCell ref="J61:M61"/>
    <mergeCell ref="J42:M42"/>
    <mergeCell ref="J56:M56"/>
    <mergeCell ref="J39:M39"/>
    <mergeCell ref="J40:M40"/>
    <mergeCell ref="J49:M49"/>
    <mergeCell ref="J48:M48"/>
    <mergeCell ref="B46:H46"/>
    <mergeCell ref="B45:M45"/>
    <mergeCell ref="B35:H35"/>
    <mergeCell ref="J38:M38"/>
    <mergeCell ref="J34:M34"/>
    <mergeCell ref="B36:M36"/>
    <mergeCell ref="J35:M35"/>
    <mergeCell ref="J37:M37"/>
    <mergeCell ref="B37:H37"/>
    <mergeCell ref="C34:H34"/>
    <mergeCell ref="C43:H43"/>
    <mergeCell ref="C42:H42"/>
    <mergeCell ref="C40:H40"/>
    <mergeCell ref="C39:H39"/>
    <mergeCell ref="J27:M27"/>
    <mergeCell ref="J29:M29"/>
    <mergeCell ref="B24:H24"/>
    <mergeCell ref="C27:H27"/>
    <mergeCell ref="L4:M4"/>
    <mergeCell ref="J19:M19"/>
    <mergeCell ref="J21:M21"/>
    <mergeCell ref="J10:M10"/>
    <mergeCell ref="J11:M11"/>
    <mergeCell ref="B7:M7"/>
    <mergeCell ref="L5:M5"/>
    <mergeCell ref="J9:M9"/>
    <mergeCell ref="J12:M12"/>
    <mergeCell ref="J17:M17"/>
    <mergeCell ref="J16:M16"/>
    <mergeCell ref="J57:M57"/>
    <mergeCell ref="J46:M46"/>
    <mergeCell ref="B54:M54"/>
    <mergeCell ref="B55:H55"/>
    <mergeCell ref="J55:M55"/>
    <mergeCell ref="J51:M51"/>
    <mergeCell ref="J52:M52"/>
    <mergeCell ref="J43:M43"/>
    <mergeCell ref="J47:M47"/>
    <mergeCell ref="C9:H9"/>
    <mergeCell ref="C10:H10"/>
    <mergeCell ref="C11:H11"/>
    <mergeCell ref="C12:H12"/>
    <mergeCell ref="C13:H13"/>
    <mergeCell ref="C14:H14"/>
    <mergeCell ref="C21:H21"/>
    <mergeCell ref="C19:H19"/>
    <mergeCell ref="C17:H17"/>
    <mergeCell ref="C16:H16"/>
    <mergeCell ref="C15:H15"/>
    <mergeCell ref="C18:H18"/>
    <mergeCell ref="C20:H20"/>
  </mergeCells>
  <pageMargins left="0.23622047244094491" right="0.23622047244094491" top="0" bottom="0.19685039370078741" header="0.31496062992125984" footer="0.31496062992125984"/>
  <pageSetup paperSize="9"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0"/>
  <sheetViews>
    <sheetView workbookViewId="0">
      <selection activeCell="C10" sqref="C10"/>
    </sheetView>
  </sheetViews>
  <sheetFormatPr baseColWidth="10" defaultRowHeight="15" x14ac:dyDescent="0.25"/>
  <cols>
    <col min="2" max="2" width="11.42578125" style="2"/>
    <col min="3" max="3" width="15.85546875" style="2" customWidth="1"/>
    <col min="4" max="4" width="13.5703125" customWidth="1"/>
  </cols>
  <sheetData>
    <row r="3" spans="2:14" s="4" customFormat="1" ht="18.75" x14ac:dyDescent="0.3">
      <c r="B3" s="3" t="s">
        <v>78</v>
      </c>
      <c r="C3" s="3"/>
      <c r="D3" s="3"/>
    </row>
    <row r="5" spans="2:14" s="6" customFormat="1" ht="30.75" thickBot="1" x14ac:dyDescent="0.3">
      <c r="B5" s="8" t="s">
        <v>5</v>
      </c>
      <c r="C5" s="5" t="s">
        <v>6</v>
      </c>
      <c r="D5" s="13" t="s">
        <v>7</v>
      </c>
      <c r="E5" s="13"/>
      <c r="F5" s="13"/>
      <c r="G5" s="13"/>
      <c r="H5" s="13"/>
      <c r="I5" s="13"/>
      <c r="J5" s="13"/>
      <c r="K5" s="13"/>
      <c r="L5" s="13"/>
      <c r="M5" s="130"/>
      <c r="N5" s="130"/>
    </row>
    <row r="6" spans="2:14" s="6" customFormat="1" ht="34.5" customHeight="1" x14ac:dyDescent="0.25">
      <c r="B6" s="7">
        <v>3</v>
      </c>
      <c r="C6" s="7" t="s">
        <v>8</v>
      </c>
      <c r="D6" s="14" t="s">
        <v>79</v>
      </c>
      <c r="E6" s="14"/>
      <c r="F6" s="14"/>
      <c r="G6" s="14"/>
      <c r="H6" s="14"/>
      <c r="I6" s="14"/>
      <c r="J6" s="14"/>
      <c r="K6" s="14"/>
      <c r="L6" s="14"/>
      <c r="M6" s="131"/>
      <c r="N6" s="131"/>
    </row>
    <row r="7" spans="2:14" s="6" customFormat="1" ht="34.5" customHeight="1" x14ac:dyDescent="0.25">
      <c r="B7" s="7">
        <v>2</v>
      </c>
      <c r="C7" s="7" t="s">
        <v>80</v>
      </c>
      <c r="D7" s="12" t="s">
        <v>81</v>
      </c>
      <c r="E7" s="12"/>
      <c r="F7" s="12"/>
      <c r="G7" s="12"/>
      <c r="H7" s="12"/>
      <c r="I7" s="12"/>
      <c r="J7" s="12"/>
      <c r="K7" s="12"/>
      <c r="L7" s="12"/>
      <c r="M7" s="131"/>
      <c r="N7" s="131"/>
    </row>
    <row r="8" spans="2:14" s="6" customFormat="1" ht="34.5" customHeight="1" x14ac:dyDescent="0.25">
      <c r="B8" s="7">
        <v>1</v>
      </c>
      <c r="C8" s="7" t="s">
        <v>82</v>
      </c>
      <c r="D8" s="12" t="s">
        <v>83</v>
      </c>
      <c r="E8" s="12"/>
      <c r="F8" s="12"/>
      <c r="G8" s="12"/>
      <c r="H8" s="12"/>
      <c r="I8" s="12"/>
      <c r="J8" s="12"/>
      <c r="K8" s="12"/>
      <c r="L8" s="12"/>
      <c r="M8" s="131"/>
      <c r="N8" s="131"/>
    </row>
    <row r="9" spans="2:14" s="6" customFormat="1" ht="34.5" customHeight="1" x14ac:dyDescent="0.25">
      <c r="B9" s="7">
        <v>0</v>
      </c>
      <c r="C9" s="7" t="s">
        <v>84</v>
      </c>
      <c r="D9" s="12" t="s">
        <v>85</v>
      </c>
      <c r="E9" s="12"/>
      <c r="F9" s="12"/>
      <c r="G9" s="12"/>
      <c r="H9" s="12"/>
      <c r="I9" s="12"/>
      <c r="J9" s="12"/>
      <c r="K9" s="12"/>
      <c r="L9" s="12"/>
      <c r="M9" s="131"/>
      <c r="N9" s="131"/>
    </row>
    <row r="10" spans="2:14" s="6" customFormat="1" ht="34.5" customHeight="1" x14ac:dyDescent="0.25">
      <c r="B10" s="7"/>
      <c r="C10" s="7" t="s">
        <v>86</v>
      </c>
      <c r="D10" s="12" t="s">
        <v>9</v>
      </c>
      <c r="E10" s="12"/>
      <c r="F10" s="12"/>
      <c r="G10" s="12"/>
      <c r="H10" s="12"/>
      <c r="I10" s="12"/>
      <c r="J10" s="12"/>
      <c r="K10" s="12"/>
      <c r="L10" s="12"/>
      <c r="M10" s="131"/>
      <c r="N10" s="131"/>
    </row>
  </sheetData>
  <mergeCells count="6">
    <mergeCell ref="D5:L5"/>
    <mergeCell ref="D6:L6"/>
    <mergeCell ref="D7:L7"/>
    <mergeCell ref="D8:L8"/>
    <mergeCell ref="D9:L9"/>
    <mergeCell ref="D10:L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19"/>
  <sheetViews>
    <sheetView topLeftCell="A4" workbookViewId="0">
      <selection activeCell="F7" sqref="F7:F8"/>
    </sheetView>
  </sheetViews>
  <sheetFormatPr baseColWidth="10" defaultColWidth="11.42578125" defaultRowHeight="15" x14ac:dyDescent="0.25"/>
  <sheetData>
    <row r="5" spans="2:11" ht="15.75" x14ac:dyDescent="0.25">
      <c r="D5" s="15"/>
      <c r="E5" s="15"/>
      <c r="F5" s="15"/>
      <c r="G5" s="15"/>
      <c r="H5" s="16">
        <v>1</v>
      </c>
      <c r="J5" s="17" t="s">
        <v>56</v>
      </c>
      <c r="K5" s="17" t="s">
        <v>57</v>
      </c>
    </row>
    <row r="6" spans="2:11" x14ac:dyDescent="0.25">
      <c r="D6" s="18">
        <v>0.2</v>
      </c>
      <c r="E6" s="18"/>
      <c r="F6" s="18"/>
      <c r="G6" s="15"/>
      <c r="H6" s="19">
        <f>+(D9+D14+D19)*H5</f>
        <v>1</v>
      </c>
      <c r="J6" s="20">
        <v>39</v>
      </c>
      <c r="K6" s="21">
        <v>13</v>
      </c>
    </row>
    <row r="7" spans="2:11" ht="19.5" customHeight="1" x14ac:dyDescent="0.25">
      <c r="B7" s="22" t="s">
        <v>58</v>
      </c>
      <c r="C7" s="22"/>
      <c r="D7" s="23">
        <f>(EVALUACIÓN!I9+EVALUACIÓN!I10+EVALUACIÓN!I11+EVALUACIÓN!I12+EVALUACIÓN!I13+EVALUACIÓN!I14+EVALUACIÓN!I15+EVALUACIÓN!I16+EVALUACIÓN!I17+EVALUACIÓN!I18+EVALUACIÓN!I19+EVALUACIÓN!I20+EVALUACIÓN!I21)</f>
        <v>39</v>
      </c>
      <c r="E7" s="23">
        <v>39</v>
      </c>
      <c r="F7" s="24">
        <f>+D7/E7</f>
        <v>1</v>
      </c>
      <c r="G7" s="25"/>
      <c r="H7" s="19"/>
      <c r="J7" s="20"/>
      <c r="K7" s="26"/>
    </row>
    <row r="8" spans="2:11" ht="19.5" customHeight="1" x14ac:dyDescent="0.25">
      <c r="B8" s="22"/>
      <c r="C8" s="22"/>
      <c r="D8" s="23"/>
      <c r="E8" s="23"/>
      <c r="F8" s="24"/>
      <c r="G8" s="25"/>
      <c r="H8" s="19"/>
      <c r="J8" s="20"/>
      <c r="K8" s="26"/>
    </row>
    <row r="9" spans="2:11" ht="14.1" customHeight="1" x14ac:dyDescent="0.25">
      <c r="B9" s="22"/>
      <c r="C9" s="22"/>
      <c r="D9" s="24">
        <f>+F7*D6</f>
        <v>0.2</v>
      </c>
      <c r="E9" s="24"/>
      <c r="F9" s="24"/>
      <c r="G9" s="25"/>
      <c r="H9" s="19"/>
      <c r="J9" s="20"/>
      <c r="K9" s="27"/>
    </row>
    <row r="10" spans="2:11" x14ac:dyDescent="0.25">
      <c r="B10" s="1"/>
      <c r="C10" s="1"/>
      <c r="D10" s="28"/>
      <c r="E10" s="28"/>
      <c r="F10" s="28"/>
      <c r="G10" s="25"/>
      <c r="H10" s="19"/>
      <c r="J10" s="6"/>
    </row>
    <row r="11" spans="2:11" x14ac:dyDescent="0.25">
      <c r="D11" s="18">
        <v>0.35</v>
      </c>
      <c r="E11" s="18"/>
      <c r="F11" s="18"/>
      <c r="G11" s="15"/>
      <c r="H11" s="19"/>
      <c r="J11" s="20">
        <v>36</v>
      </c>
      <c r="K11" s="21">
        <v>12</v>
      </c>
    </row>
    <row r="12" spans="2:11" x14ac:dyDescent="0.25">
      <c r="B12" s="29" t="s">
        <v>60</v>
      </c>
      <c r="C12" s="29"/>
      <c r="D12" s="23">
        <f>(EVALUACIÓN!I38+EVALUACIÓN!I39+EVALUACIÓN!I40+EVALUACIÓN!I41+EVALUACIÓN!I42+EVALUACIÓN!I43+EVALUACIÓN!I47+EVALUACIÓN!I48+EVALUACIÓN!I49+EVALUACIÓN!I50+EVALUACIÓN!I51+EVALUACIÓN!I52)</f>
        <v>36</v>
      </c>
      <c r="E12" s="23">
        <v>36</v>
      </c>
      <c r="F12" s="24">
        <f>+D12/E12</f>
        <v>1</v>
      </c>
      <c r="G12" s="25"/>
      <c r="H12" s="19"/>
      <c r="J12" s="20"/>
      <c r="K12" s="26"/>
    </row>
    <row r="13" spans="2:11" x14ac:dyDescent="0.25">
      <c r="B13" s="29"/>
      <c r="C13" s="29"/>
      <c r="D13" s="23"/>
      <c r="E13" s="23"/>
      <c r="F13" s="24"/>
      <c r="G13" s="25"/>
      <c r="H13" s="19"/>
      <c r="J13" s="20"/>
      <c r="K13" s="26"/>
    </row>
    <row r="14" spans="2:11" x14ac:dyDescent="0.25">
      <c r="B14" s="29"/>
      <c r="C14" s="29"/>
      <c r="D14" s="24">
        <f>+F12*D11</f>
        <v>0.35</v>
      </c>
      <c r="E14" s="24"/>
      <c r="F14" s="24"/>
      <c r="G14" s="25"/>
      <c r="H14" s="19"/>
      <c r="J14" s="20"/>
      <c r="K14" s="27"/>
    </row>
    <row r="15" spans="2:11" x14ac:dyDescent="0.25">
      <c r="B15" s="15"/>
      <c r="C15" s="15"/>
      <c r="D15" s="28"/>
      <c r="E15" s="28"/>
      <c r="F15" s="28"/>
      <c r="G15" s="25"/>
      <c r="H15" s="19"/>
      <c r="J15" s="6"/>
    </row>
    <row r="16" spans="2:11" x14ac:dyDescent="0.25">
      <c r="B16" s="15"/>
      <c r="C16" s="15"/>
      <c r="D16" s="18">
        <v>0.45</v>
      </c>
      <c r="E16" s="18"/>
      <c r="F16" s="18"/>
      <c r="G16" s="15"/>
      <c r="H16" s="19"/>
      <c r="J16" s="20">
        <v>48</v>
      </c>
      <c r="K16" s="21">
        <v>16</v>
      </c>
    </row>
    <row r="17" spans="2:11" x14ac:dyDescent="0.25">
      <c r="B17" s="29" t="s">
        <v>61</v>
      </c>
      <c r="C17" s="29"/>
      <c r="D17" s="23">
        <f>(EVALUACIÓN!I25+EVALUACIÓN!I26+EVALUACIÓN!I27+EVALUACIÓN!I28+EVALUACIÓN!I29+EVALUACIÓN!I30+EVALUACIÓN!I31+EVALUACIÓN!I32+EVALUACIÓN!I33+EVALUACIÓN!I34+EVALUACIÓN!I56+EVALUACIÓN!I57+EVALUACIÓN!I58+EVALUACIÓN!I59+EVALUACIÓN!I60+EVALUACIÓN!I61)</f>
        <v>48</v>
      </c>
      <c r="E17" s="23">
        <v>48</v>
      </c>
      <c r="F17" s="24">
        <f>+D17/E17</f>
        <v>1</v>
      </c>
      <c r="G17" s="15"/>
      <c r="H17" s="19"/>
      <c r="J17" s="20"/>
      <c r="K17" s="26"/>
    </row>
    <row r="18" spans="2:11" x14ac:dyDescent="0.25">
      <c r="B18" s="29"/>
      <c r="C18" s="29"/>
      <c r="D18" s="23"/>
      <c r="E18" s="23"/>
      <c r="F18" s="24"/>
      <c r="G18" s="15"/>
      <c r="H18" s="19"/>
      <c r="J18" s="20"/>
      <c r="K18" s="26"/>
    </row>
    <row r="19" spans="2:11" x14ac:dyDescent="0.25">
      <c r="B19" s="29"/>
      <c r="C19" s="29"/>
      <c r="D19" s="24">
        <f>+F17*D16</f>
        <v>0.45</v>
      </c>
      <c r="E19" s="24"/>
      <c r="F19" s="24"/>
      <c r="G19" s="15"/>
      <c r="H19" s="30"/>
      <c r="J19" s="20"/>
      <c r="K19" s="27"/>
    </row>
  </sheetData>
  <mergeCells count="25">
    <mergeCell ref="D16:F16"/>
    <mergeCell ref="J16:J19"/>
    <mergeCell ref="K16:K19"/>
    <mergeCell ref="B17:C19"/>
    <mergeCell ref="D17:D18"/>
    <mergeCell ref="E17:E18"/>
    <mergeCell ref="F17:F18"/>
    <mergeCell ref="D19:F19"/>
    <mergeCell ref="J11:J14"/>
    <mergeCell ref="K11:K14"/>
    <mergeCell ref="B12:C14"/>
    <mergeCell ref="D12:D13"/>
    <mergeCell ref="E12:E13"/>
    <mergeCell ref="F12:F13"/>
    <mergeCell ref="D14:F14"/>
    <mergeCell ref="D6:F6"/>
    <mergeCell ref="H6:H19"/>
    <mergeCell ref="J6:J9"/>
    <mergeCell ref="K6:K9"/>
    <mergeCell ref="B7:C9"/>
    <mergeCell ref="D7:D8"/>
    <mergeCell ref="E7:E8"/>
    <mergeCell ref="F7:F8"/>
    <mergeCell ref="D9:F9"/>
    <mergeCell ref="D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EVALUACIÓN</vt:lpstr>
      <vt:lpstr>REFERENCIAS GENERALES</vt:lpstr>
      <vt:lpstr>PONDERACIÓN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Tomás Cosenza</cp:lastModifiedBy>
  <cp:lastPrinted>2026-06-08T20:06:57Z</cp:lastPrinted>
  <dcterms:created xsi:type="dcterms:W3CDTF">2017-11-11T12:53:53Z</dcterms:created>
  <dcterms:modified xsi:type="dcterms:W3CDTF">2026-07-13T13:37:30Z</dcterms:modified>
</cp:coreProperties>
</file>