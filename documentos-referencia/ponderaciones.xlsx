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ttps://d.docs.live.net/58f7cd484274ac18/Escritorio/PROYECTO ORT/PLANILLAS VACÍAS Y DOCUMENTOS/INOCUIDAD-BPM/"/>
    </mc:Choice>
  </mc:AlternateContent>
  <bookViews>
    <workbookView xWindow="0" yWindow="0" windowWidth="20490" windowHeight="6900"/>
  </bookViews>
  <sheets>
    <sheet name="Hoja1" sheetId="3" r:id="rId1"/>
    <sheet name="Hoja2" sheetId="4"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 l="1"/>
  <c r="D17" i="4"/>
  <c r="D7" i="4"/>
  <c r="F17" i="4" l="1"/>
  <c r="D19" i="4" s="1"/>
  <c r="F12" i="4"/>
  <c r="D14" i="4" s="1"/>
  <c r="F7" i="4"/>
  <c r="D9" i="4" s="1"/>
  <c r="H6" i="4" l="1"/>
  <c r="F96" i="3" s="1"/>
</calcChain>
</file>

<file path=xl/sharedStrings.xml><?xml version="1.0" encoding="utf-8"?>
<sst xmlns="http://schemas.openxmlformats.org/spreadsheetml/2006/main" count="191" uniqueCount="122">
  <si>
    <t>BPM V3                                                              Febrero 2021</t>
  </si>
  <si>
    <t>Fecha:</t>
  </si>
  <si>
    <t>Turno:</t>
  </si>
  <si>
    <t>Realizado por:</t>
  </si>
  <si>
    <t>A</t>
  </si>
  <si>
    <t>RECEPCION Y ALMACENAMIENTO DE MATERIAS PRIMAS E INSUMOS</t>
  </si>
  <si>
    <t>PUNTUACIÓN</t>
  </si>
  <si>
    <t>OBSERVACIONES</t>
  </si>
  <si>
    <t>1-</t>
  </si>
  <si>
    <t>Productos recibidos se encuentran sobre palets evitando la contaminación?</t>
  </si>
  <si>
    <t>2-</t>
  </si>
  <si>
    <t>El camión de transporte de las materias primas e insumos es adecuado, permitiendo la limpieza y desinfección completa?</t>
  </si>
  <si>
    <t>3-</t>
  </si>
  <si>
    <t>Las condiciones de higiene del camión de transporte son adecuadas?</t>
  </si>
  <si>
    <t>4-</t>
  </si>
  <si>
    <t>En la recepción, ¿Se realiza control de temperatura de la materia prima que debe mantenerse a temperatura de recepción o congelado?</t>
  </si>
  <si>
    <t>5-</t>
  </si>
  <si>
    <t>Se realiza inspección visual de la materia prima (olor, color, etc.) y revisión de las condiciones de los envases?</t>
  </si>
  <si>
    <t>6-</t>
  </si>
  <si>
    <t xml:space="preserve"> El rótulo y envase de las materias primas observadas, cumple con la normativa vigente? Denominación de venta del alimento, lista ingredientes, contenidos neto, identificación del origen, identificación del lote, fecha de duración mínima, preparación e instrucciones de uso del alimento cuando corresponda, etc. Según RBN Decreto N° 315/994</t>
  </si>
  <si>
    <t>7-</t>
  </si>
  <si>
    <t>8-</t>
  </si>
  <si>
    <t>Productos almacenados se encuentran de forma adecuada sobre palets y/o estanterías evitando contaminación? Se permite circulación de aire?</t>
  </si>
  <si>
    <t>9-</t>
  </si>
  <si>
    <t>Los productos químicos se encuentran separados y alejados del área de almacenamiento de productos alimenticios?</t>
  </si>
  <si>
    <t>10-</t>
  </si>
  <si>
    <t>Productos almacenados se encuentran dispuestos en sector correspondiente?</t>
  </si>
  <si>
    <t>11-</t>
  </si>
  <si>
    <t>Las preparaciones observadas elaboradas en dicho establecimiento o materia prima abierta o fraccionada presentan identificación adecuada? (ideal nombre producto, fecha de apertura y/o producción, fecha de congelado y vencimiento original si corresponde y fecha de vencmiento correspondiente)</t>
  </si>
  <si>
    <t>12-</t>
  </si>
  <si>
    <t>Productos almacenados presentan información verídica que no genere confusión?</t>
  </si>
  <si>
    <t>13-</t>
  </si>
  <si>
    <t>La materia prima o preparaciones observadas presentan envase y/o protección adecuada de manera de evitar contaminación?</t>
  </si>
  <si>
    <t>14-</t>
  </si>
  <si>
    <t>La materia prima o productos que se observan se encuentran dentro de su vida útil?</t>
  </si>
  <si>
    <t>15-</t>
  </si>
  <si>
    <t>Se asegura una adecuada rotación de las materias primas?</t>
  </si>
  <si>
    <t>16-</t>
  </si>
  <si>
    <t>Las materias primas no conformes, se encuentran correctamente identificadas?</t>
  </si>
  <si>
    <t>17-</t>
  </si>
  <si>
    <t>Se realiza desinfección correspondiente de envases o retiro de envase externo que contienen la materia prima al momento de ingresar al sector de limpios?</t>
  </si>
  <si>
    <t>B</t>
  </si>
  <si>
    <t>ALMACENAMIENTOS DE UTENSILIOS Y EQUIPOS</t>
  </si>
  <si>
    <t>Los materiales de equipos y utensillos utilizados en la zona de elaboración que puedan entrar en contacto con los alimentos/productos, ¿No permiten la trasmisión de sustancias tóxicas, olores, sabores, etc?</t>
  </si>
  <si>
    <t>Utensilios y equipo menor limpio se encuentran almacenados de manera alejada del área  de sucios?</t>
  </si>
  <si>
    <t>El flujo en los sectores de higiene de utensilios y equipo menor presenta secuencia lógica de manera de evitar contaminación de lo sucio a lo limpio?</t>
  </si>
  <si>
    <t>Utensilios y equipo menor se almacenan de forma adecuada para evitar riesgo de contaminación?</t>
  </si>
  <si>
    <t>Los equipos mayores se encuentran protegidos en las zonas donde contacta con alimentos?</t>
  </si>
  <si>
    <t xml:space="preserve">Sectores donde se realiza cada proceso para la obtención y ofrecimiento de las preparaciones, cuenta con alcohol 70°, toallas desechables, guantes y tapabocas? </t>
  </si>
  <si>
    <t>C</t>
  </si>
  <si>
    <t xml:space="preserve">CONTROL DE PLAGAS (MIP)  </t>
  </si>
  <si>
    <t>Se aplica un programa eficaz y continuo de control de plagas que incluya una inspección periódica del establecimiento y de las zonas circundantes?</t>
  </si>
  <si>
    <t>Si hubo presencia de alguna plaga, se adoptaron medidas de erradicación?</t>
  </si>
  <si>
    <t>El control, ¿comprende el uso de agentes químicos, físicos o biológicos autorizados para su uso en la industria alimentaria?</t>
  </si>
  <si>
    <t>La aplicación, ¿es realizada por personal calificado y entrenado?</t>
  </si>
  <si>
    <t xml:space="preserve">Si se aplican plaguicidas se tiene cuidado de proteger los alimentos, equipos y utensilios contra la contaminación? </t>
  </si>
  <si>
    <t>Luego de la aplicación: ¿se limpian minuciosamente equipos y utensilios?</t>
  </si>
  <si>
    <t>¿Hay lugares identificados para el sistema de monitoreo de plagas? (internos)</t>
  </si>
  <si>
    <t>¿Se realizan los controles periódicos de estas estaciones de monitoreo?</t>
  </si>
  <si>
    <t>D</t>
  </si>
  <si>
    <t>PRÁCTICAS DE FUNCIONARIOS</t>
  </si>
  <si>
    <t>Funcionarios utilizan indumentaria necesaria para evitar contaminación?</t>
  </si>
  <si>
    <t>La vestimenta de los funcionarios se encuentra en condiciones adecuadas de higiene?</t>
  </si>
  <si>
    <t>La indumentaria se higieniza de manera correcta y cuando corresponde?</t>
  </si>
  <si>
    <t>Existe lugar donde se coloque la indumentaria en uso? Ej. delantales, camperas abrigo</t>
  </si>
  <si>
    <t>Lugar donde se coloca la indumentaria en uso es adecuado?</t>
  </si>
  <si>
    <t>Existe lugar donde se deposite la indumentaria propia de producción sucia?</t>
  </si>
  <si>
    <t>Existe lugar donde se deposite la vestimenta utilizada en todos los sectores? Para calzado especificamente y para el resto de la vestimenta</t>
  </si>
  <si>
    <t>Se respeta el lugar de depósito de la vestimenta y/o indumentaria sucia?</t>
  </si>
  <si>
    <t>El área de manipulación de alimentos está exenta de ropa y/u objetos personales de los funcionarios?</t>
  </si>
  <si>
    <t>Funcionarios cumplen con no comer, salivar, fumar, masticar gomas o similares?</t>
  </si>
  <si>
    <t>Funcionarios están exentos de objetos personales (adornos) y maquillaje?</t>
  </si>
  <si>
    <t>Funcionarios presenta uñas cortas sin esmalte?</t>
  </si>
  <si>
    <t>Funcionarios aplican procedimiento correcto de lavado de manos?</t>
  </si>
  <si>
    <t>Funcionarios se lavan las manos con la frecuencia necesaria?(antes de iniciar el trabajo, luego de usar los sanitarios, cada vez que se cambia de tarea, luego de sonar la chicharra, etc.)</t>
  </si>
  <si>
    <t>E</t>
  </si>
  <si>
    <t>PROCEDIMIENTOS DESCONGELADO, ELABORACIÓN, ENFRIAMIENTO, PREPARADO, ARMADO, ETC</t>
  </si>
  <si>
    <t>Los procesos observados de recepción, elaboración, enfriamiento, preparado, armado, etc. ¿evitan la posibilidad de contaminación, deterioro o proliferación de microorganismos patógenos y causantes de putrefacción?</t>
  </si>
  <si>
    <t>Existe riesgo de contaminación cruzada?</t>
  </si>
  <si>
    <t>El aceite o grasa que se utiliza para la cocción (freir), ¿Se filtra posteriormente a su utilización?</t>
  </si>
  <si>
    <t>El aceite o grasa que se utiliza para la cocción (freir), ¿Se protege contra la contaminación?</t>
  </si>
  <si>
    <t>Los Puntos de Control observados se aplican según lo establecido?</t>
  </si>
  <si>
    <t>El procedimiento observado de cocción, se realiza de acuerdo a los rangos de temperatura establecidos por la ESA?</t>
  </si>
  <si>
    <t>El procedimiento observado de reclaentado, se realiza como corresponde cumpliendo con los límites establecidos por la ESA?</t>
  </si>
  <si>
    <t>El mantenimiento en caliente de las preparaciones observadas, cumple con los límites establecidos por la ESA?</t>
  </si>
  <si>
    <t>El mantenimiento en frío de las preparaciones observadas, cumple con los límites establecidos por la ESA?</t>
  </si>
  <si>
    <t xml:space="preserve">El proceso de preparación y armado en frío de las preparaciones observadas, cumple con los límites establecidos por la ESA? </t>
  </si>
  <si>
    <t xml:space="preserve">Los productos terminados que se transportan ¿se disponen en condiciones que eviten la contaminación? </t>
  </si>
  <si>
    <t>F</t>
  </si>
  <si>
    <t>REGISTROS PC, PCC, TRAZABILIDAD</t>
  </si>
  <si>
    <r>
      <t xml:space="preserve">Se dispone de registros en los PC? (desinfección F y V, desinfección envases, desinfección utensilios, </t>
    </r>
    <r>
      <rPr>
        <sz val="12"/>
        <color rgb="FFFF0000"/>
        <rFont val="Calibri"/>
        <family val="2"/>
        <scheme val="minor"/>
      </rPr>
      <t>sector de secos, descongelado, etc.)</t>
    </r>
  </si>
  <si>
    <t>Los registros en los PC presentan la información correspondiente?</t>
  </si>
  <si>
    <t>Existe acción correctiva en caso de que se detecte una desviación en los PC?</t>
  </si>
  <si>
    <t>Se dispone de los registros en los PCC de las preparaciones observadas para ofrecer dicho día?</t>
  </si>
  <si>
    <t>Los registros en los PCC de las preparaciones observadas para ofrecer dicho día, presentan la información correspondiente?</t>
  </si>
  <si>
    <t>Los registros en los PCC de las preparaciones observadas para ofrecer dicho día, cumplen con los límites establecidos?</t>
  </si>
  <si>
    <t>Existe acción correctiva en caso de que se detecte una desviación en los PCC?</t>
  </si>
  <si>
    <t>G</t>
  </si>
  <si>
    <t>MUESTRAS DE ALIMENTOS</t>
  </si>
  <si>
    <t>Se toma muestra de cada alimento ofrecido en el servicio del día en cuestión?</t>
  </si>
  <si>
    <t>Las muestras de cada alimento ofrecido, se mantienen por al menos 5 días en cámara?</t>
  </si>
  <si>
    <t>Las muestras presentan información necesaria?</t>
  </si>
  <si>
    <t>H</t>
  </si>
  <si>
    <t>ALIMENTOS LIBRE DE GLUTEN (SI CORRESPONDE)</t>
  </si>
  <si>
    <t>Utensilios se almacenan en sector exclusivo para alimentos libres de gluten?</t>
  </si>
  <si>
    <t>Productos para la obtención de alimentos libres de gluten, se almacenan en sector correspondiente?</t>
  </si>
  <si>
    <t>Personal que manipula alimentos en dicho sector cumple con BPM para la obtención y la entrega de alimentos libres de gluten?</t>
  </si>
  <si>
    <t>Personal que manipula alimentos en dicho sector, ¿No realiza anteriormente tareas que aumenten el riesgo de contaminación con TACC?</t>
  </si>
  <si>
    <t>Referencias:</t>
  </si>
  <si>
    <t>0 : muy malo</t>
  </si>
  <si>
    <t>1 : malo</t>
  </si>
  <si>
    <t>2 : regular</t>
  </si>
  <si>
    <t>3 : bueno</t>
  </si>
  <si>
    <t>IDEAL</t>
  </si>
  <si>
    <t>BPM/CONTROL DE PLAGAS/PUNTOS DE CONTROL</t>
  </si>
  <si>
    <t>En las preparaciones que incluyen APP, permiten identificar y rastrear todos los componentes y procesos involucrados desde las materias primas hasta su entrega al consumidor?</t>
  </si>
  <si>
    <t>La temperatura de almacenamiento de los productos dentro de las cámaras, es adecuada  según lo establecido por la ESA?</t>
  </si>
  <si>
    <t xml:space="preserve"> El rótulo y envase de las materias primas procesadas en la Planta de la ESA presenta nombre del producto, nombre de la empresa, N° de habilitación, lote, fecha de producción y vencimiento y de congelado cuando corresponde? </t>
  </si>
  <si>
    <t>BUENAS PRÁCTICAS EN GENERAL, TRAZABILIDAD, PC Y PCC</t>
  </si>
  <si>
    <t>PUNTOS CRÍTICOS DE CONTROL/CELÍACO/TRAZABILIDAD</t>
  </si>
  <si>
    <t>VESTIMENTA FUNCIONARIOS/ ESTADO E HIGIENE DE EQUIPOS/MUESTRAS ALIMENTOS</t>
  </si>
  <si>
    <t>CELDAS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</si>
</sst>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6"/>
      <color theme="1"/>
      <name val="Calibri"/>
      <family val="2"/>
      <scheme val="minor"/>
    </font>
    <font>
      <u/>
      <sz val="16"/>
      <color theme="1"/>
      <name val="Calibri"/>
      <family val="2"/>
      <scheme val="minor"/>
    </font>
    <font>
      <i/>
      <sz val="12"/>
      <color theme="1"/>
      <name val="Calibri"/>
      <family val="2"/>
      <scheme val="minor"/>
    </font>
    <font>
      <b/>
      <sz val="8"/>
      <name val="Calibri"/>
      <family val="2"/>
      <scheme val="minor"/>
    </font>
    <font>
      <sz val="8"/>
      <name val="Calibri"/>
      <family val="2"/>
      <scheme val="minor"/>
    </font>
    <font>
      <sz val="11"/>
      <name val="Calibri"/>
      <family val="2"/>
      <scheme val="minor"/>
    </font>
    <font>
      <b/>
      <sz val="14"/>
      <name val="Calibri"/>
      <family val="2"/>
      <scheme val="minor"/>
    </font>
    <font>
      <sz val="9"/>
      <color theme="1"/>
      <name val="Calibri"/>
      <family val="2"/>
      <scheme val="minor"/>
    </font>
    <font>
      <sz val="12"/>
      <color rgb="FFFF0000"/>
      <name val="Calibri"/>
      <family val="2"/>
      <scheme val="minor"/>
    </font>
    <font>
      <sz val="9"/>
      <name val="Calibri"/>
      <family val="2"/>
      <scheme val="minor"/>
    </font>
    <font>
      <b/>
      <sz val="20"/>
      <color rgb="FFFF0000"/>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FF66"/>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1">
    <xf numFmtId="0" fontId="0" fillId="0" borderId="0"/>
  </cellStyleXfs>
  <cellXfs count="133">
    <xf numFmtId="0" fontId="0" fillId="0" borderId="0" xfId="0"/>
    <xf numFmtId="0" fontId="2" fillId="2" borderId="3" xfId="0" applyFont="1" applyFill="1" applyBorder="1" applyAlignment="1">
      <alignment horizontal="center" vertical="center" wrapText="1"/>
    </xf>
    <xf numFmtId="0" fontId="3" fillId="0" borderId="0" xfId="0" applyFont="1"/>
    <xf numFmtId="0" fontId="4" fillId="0" borderId="0" xfId="0" applyFont="1" applyAlignment="1">
      <alignment horizontal="left" vertical="center" wrapText="1"/>
    </xf>
    <xf numFmtId="0" fontId="4"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right"/>
    </xf>
    <xf numFmtId="0" fontId="2" fillId="0" borderId="3" xfId="0" applyFont="1" applyBorder="1" applyAlignment="1">
      <alignment horizontal="center" vertical="center"/>
    </xf>
    <xf numFmtId="0" fontId="3" fillId="3" borderId="7"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6" fillId="0" borderId="0" xfId="0" applyFont="1"/>
    <xf numFmtId="0" fontId="1" fillId="0" borderId="0" xfId="0" applyFont="1" applyAlignment="1">
      <alignment vertical="center" textRotation="90"/>
    </xf>
    <xf numFmtId="0" fontId="1" fillId="0" borderId="0" xfId="0" applyFont="1" applyAlignment="1">
      <alignment horizontal="center" vertical="center" textRotation="90"/>
    </xf>
    <xf numFmtId="0" fontId="7" fillId="0" borderId="0" xfId="0" applyFont="1" applyAlignment="1">
      <alignment vertical="center"/>
    </xf>
    <xf numFmtId="0" fontId="3" fillId="3" borderId="33"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0" borderId="0" xfId="0" applyFont="1" applyAlignment="1">
      <alignment horizontal="right" vertical="center"/>
    </xf>
    <xf numFmtId="0" fontId="3" fillId="0" borderId="27" xfId="0" applyFont="1" applyBorder="1" applyAlignment="1">
      <alignment horizontal="center" vertical="center"/>
    </xf>
    <xf numFmtId="0" fontId="5" fillId="0" borderId="27" xfId="0" applyFont="1" applyBorder="1" applyAlignment="1">
      <alignment horizontal="center" vertical="center"/>
    </xf>
    <xf numFmtId="0" fontId="8" fillId="0" borderId="2" xfId="0" applyFont="1" applyBorder="1" applyAlignment="1">
      <alignment horizontal="center" vertical="center"/>
    </xf>
    <xf numFmtId="0" fontId="5" fillId="0" borderId="2"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3" fillId="0" borderId="0" xfId="0" applyFont="1" applyAlignment="1">
      <alignment horizontal="center" vertical="center"/>
    </xf>
    <xf numFmtId="0" fontId="3" fillId="0" borderId="26"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5" fillId="0" borderId="26" xfId="0" applyFont="1" applyBorder="1" applyAlignment="1">
      <alignment horizontal="center" vertical="center"/>
    </xf>
    <xf numFmtId="0" fontId="5" fillId="0" borderId="0" xfId="0" applyFont="1" applyAlignment="1">
      <alignment horizontal="center" vertical="center"/>
    </xf>
    <xf numFmtId="0" fontId="3" fillId="3" borderId="38" xfId="0" applyFont="1" applyFill="1" applyBorder="1" applyAlignment="1">
      <alignment horizontal="center" vertical="center" wrapText="1"/>
    </xf>
    <xf numFmtId="0" fontId="9" fillId="0" borderId="0" xfId="0" applyFont="1" applyAlignment="1">
      <alignment horizontal="left"/>
    </xf>
    <xf numFmtId="0" fontId="10" fillId="0" borderId="0" xfId="0" applyFont="1" applyAlignment="1">
      <alignment horizontal="left" vertical="center"/>
    </xf>
    <xf numFmtId="0" fontId="5" fillId="0" borderId="39" xfId="0" applyFont="1" applyBorder="1" applyAlignment="1">
      <alignment horizontal="center" vertical="center"/>
    </xf>
    <xf numFmtId="0" fontId="11" fillId="0" borderId="0" xfId="0" applyFont="1"/>
    <xf numFmtId="164" fontId="4" fillId="2" borderId="1" xfId="0" applyNumberFormat="1" applyFont="1" applyFill="1" applyBorder="1" applyAlignment="1">
      <alignment horizontal="center" vertical="center"/>
    </xf>
    <xf numFmtId="0" fontId="0" fillId="0" borderId="1" xfId="0" applyBorder="1" applyAlignment="1">
      <alignment horizontal="center" vertical="center"/>
    </xf>
    <xf numFmtId="164" fontId="11" fillId="0" borderId="0" xfId="0" applyNumberFormat="1" applyFont="1" applyAlignment="1">
      <alignment horizontal="center"/>
    </xf>
    <xf numFmtId="0" fontId="0" fillId="0" borderId="0" xfId="0" applyAlignment="1">
      <alignment horizontal="center" vertical="center" wrapText="1"/>
    </xf>
    <xf numFmtId="164" fontId="11" fillId="0" borderId="0" xfId="0" applyNumberFormat="1" applyFont="1" applyAlignment="1">
      <alignment horizontal="center" vertical="center"/>
    </xf>
    <xf numFmtId="0" fontId="0" fillId="0" borderId="0" xfId="0" applyAlignment="1">
      <alignment vertical="center"/>
    </xf>
    <xf numFmtId="0" fontId="5" fillId="0" borderId="44" xfId="0" applyFont="1" applyBorder="1" applyAlignment="1">
      <alignment horizontal="center" vertical="center"/>
    </xf>
    <xf numFmtId="0" fontId="3" fillId="0" borderId="45" xfId="0" applyFont="1" applyBorder="1" applyAlignment="1">
      <alignment horizontal="center" vertical="center" wrapText="1"/>
    </xf>
    <xf numFmtId="0" fontId="3" fillId="0" borderId="46" xfId="0" applyFont="1" applyBorder="1" applyAlignment="1">
      <alignment horizontal="center" vertical="center" wrapText="1"/>
    </xf>
    <xf numFmtId="0" fontId="5" fillId="0" borderId="47" xfId="0" applyFont="1" applyBorder="1" applyAlignment="1">
      <alignment horizontal="center" vertical="center"/>
    </xf>
    <xf numFmtId="0" fontId="0" fillId="0" borderId="1" xfId="0" applyBorder="1" applyAlignment="1">
      <alignment horizontal="center" vertical="center"/>
    </xf>
    <xf numFmtId="0" fontId="1" fillId="0" borderId="16" xfId="0" applyFont="1" applyBorder="1" applyAlignment="1">
      <alignment horizontal="center" vertical="center" textRotation="90"/>
    </xf>
    <xf numFmtId="0" fontId="1" fillId="0" borderId="15" xfId="0" applyFont="1" applyBorder="1" applyAlignment="1">
      <alignment horizontal="center" vertical="center" textRotation="90"/>
    </xf>
    <xf numFmtId="0" fontId="1" fillId="0" borderId="17" xfId="0" applyFont="1" applyBorder="1" applyAlignment="1">
      <alignment horizontal="center" vertical="center" textRotation="90"/>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5" fillId="0" borderId="21" xfId="0" applyFont="1" applyBorder="1" applyAlignment="1">
      <alignment horizontal="left" vertical="center" wrapText="1"/>
    </xf>
    <xf numFmtId="0" fontId="5" fillId="0" borderId="1" xfId="0" applyFont="1" applyBorder="1" applyAlignment="1">
      <alignment horizontal="left" vertical="center" wrapText="1"/>
    </xf>
    <xf numFmtId="0" fontId="5" fillId="0" borderId="37" xfId="0" applyFont="1" applyBorder="1" applyAlignment="1">
      <alignment horizontal="left" vertical="center" wrapText="1"/>
    </xf>
    <xf numFmtId="0" fontId="5" fillId="0" borderId="22" xfId="0" applyFont="1" applyBorder="1" applyAlignment="1">
      <alignment horizontal="left" vertical="center" wrapText="1"/>
    </xf>
    <xf numFmtId="0" fontId="5" fillId="0" borderId="12" xfId="0" applyFont="1" applyBorder="1" applyAlignment="1">
      <alignment horizontal="left" vertical="center" wrapText="1"/>
    </xf>
    <xf numFmtId="0" fontId="5" fillId="0" borderId="27" xfId="0" applyFont="1" applyBorder="1" applyAlignment="1">
      <alignment vertical="center" wrapText="1"/>
    </xf>
    <xf numFmtId="0" fontId="5" fillId="0" borderId="33" xfId="0" applyFont="1" applyBorder="1" applyAlignment="1">
      <alignment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5" fillId="0" borderId="27" xfId="0" applyFont="1" applyBorder="1" applyAlignment="1">
      <alignment horizontal="left" vertical="center" wrapText="1"/>
    </xf>
    <xf numFmtId="0" fontId="5" fillId="0" borderId="33" xfId="0" applyFont="1" applyBorder="1" applyAlignment="1">
      <alignment horizontal="left" vertical="center" wrapText="1"/>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5" fillId="0" borderId="42" xfId="0" applyFont="1" applyBorder="1" applyAlignment="1">
      <alignment horizontal="left" vertical="center" wrapText="1"/>
    </xf>
    <xf numFmtId="0" fontId="5" fillId="0" borderId="7" xfId="0" applyFont="1" applyBorder="1" applyAlignment="1">
      <alignment horizontal="left" vertical="center" wrapText="1"/>
    </xf>
    <xf numFmtId="0" fontId="5" fillId="0" borderId="10" xfId="0" applyFont="1" applyBorder="1" applyAlignment="1">
      <alignment horizontal="left" vertical="center" wrapText="1"/>
    </xf>
    <xf numFmtId="0" fontId="5" fillId="0" borderId="23" xfId="0" applyFont="1" applyBorder="1" applyAlignment="1">
      <alignment horizontal="left"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3" fillId="0" borderId="7" xfId="0" applyFont="1" applyBorder="1" applyAlignment="1">
      <alignment horizontal="center" vertical="center" wrapText="1"/>
    </xf>
    <xf numFmtId="0" fontId="3" fillId="0" borderId="30"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8" xfId="0" applyFont="1" applyBorder="1" applyAlignment="1">
      <alignment horizontal="center" vertical="center" wrapText="1"/>
    </xf>
    <xf numFmtId="0" fontId="5" fillId="0" borderId="9" xfId="0" applyFont="1" applyBorder="1" applyAlignment="1">
      <alignment horizontal="left" vertical="center"/>
    </xf>
    <xf numFmtId="0" fontId="5" fillId="0" borderId="9" xfId="0" applyFont="1" applyBorder="1" applyAlignment="1">
      <alignment horizontal="left" vertical="center" wrapText="1"/>
    </xf>
    <xf numFmtId="0" fontId="2" fillId="0" borderId="6" xfId="0" applyFont="1" applyBorder="1" applyAlignment="1">
      <alignment horizontal="center" vertical="center"/>
    </xf>
    <xf numFmtId="0" fontId="5" fillId="0" borderId="21" xfId="0" applyFont="1" applyBorder="1" applyAlignment="1">
      <alignment horizontal="left" vertical="center"/>
    </xf>
    <xf numFmtId="0" fontId="5" fillId="0" borderId="1" xfId="0" applyFont="1" applyBorder="1" applyAlignment="1">
      <alignment horizontal="left" vertical="center"/>
    </xf>
    <xf numFmtId="0" fontId="5" fillId="0" borderId="20" xfId="0" applyFont="1" applyBorder="1" applyAlignment="1">
      <alignment horizontal="left" vertical="center" wrapText="1"/>
    </xf>
    <xf numFmtId="0" fontId="5" fillId="0" borderId="13" xfId="0" applyFont="1" applyBorder="1" applyAlignment="1">
      <alignment horizontal="left"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1" xfId="0" applyFont="1" applyBorder="1" applyAlignment="1">
      <alignment horizontal="left" vertical="center" wrapText="1"/>
    </xf>
    <xf numFmtId="0" fontId="14" fillId="0" borderId="27" xfId="0" applyFont="1" applyBorder="1" applyAlignment="1">
      <alignment horizontal="left" vertical="center" wrapText="1"/>
    </xf>
    <xf numFmtId="0" fontId="14" fillId="0" borderId="33" xfId="0" applyFont="1" applyBorder="1" applyAlignment="1">
      <alignment horizontal="left" vertical="center" wrapText="1"/>
    </xf>
    <xf numFmtId="0" fontId="5" fillId="0" borderId="25" xfId="0" applyFont="1" applyBorder="1" applyAlignment="1">
      <alignment horizontal="left" vertical="center" wrapText="1"/>
    </xf>
    <xf numFmtId="0" fontId="5" fillId="0" borderId="36" xfId="0" applyFont="1" applyBorder="1" applyAlignment="1">
      <alignment horizontal="left" vertical="center" wrapText="1"/>
    </xf>
    <xf numFmtId="164" fontId="11" fillId="2" borderId="1" xfId="0" applyNumberFormat="1" applyFont="1" applyFill="1" applyBorder="1" applyAlignment="1">
      <alignment horizontal="center" vertical="center"/>
    </xf>
    <xf numFmtId="164" fontId="12" fillId="0" borderId="43" xfId="0" applyNumberFormat="1" applyFont="1" applyBorder="1" applyAlignment="1">
      <alignment horizontal="center" vertical="center"/>
    </xf>
    <xf numFmtId="164" fontId="12" fillId="0" borderId="7" xfId="0" applyNumberFormat="1" applyFont="1" applyBorder="1" applyAlignment="1">
      <alignment horizontal="center" vertical="center"/>
    </xf>
    <xf numFmtId="0" fontId="0" fillId="0" borderId="1" xfId="0"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xf>
    <xf numFmtId="164" fontId="11"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3" fillId="3" borderId="10"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0" fillId="0" borderId="12" xfId="0" applyBorder="1" applyAlignment="1">
      <alignment horizontal="center" vertical="center"/>
    </xf>
    <xf numFmtId="0" fontId="0" fillId="0" borderId="43" xfId="0" applyBorder="1" applyAlignment="1">
      <alignment horizontal="center" vertical="center"/>
    </xf>
    <xf numFmtId="0" fontId="0" fillId="0" borderId="7" xfId="0" applyBorder="1" applyAlignment="1">
      <alignment horizontal="center" vertical="center"/>
    </xf>
    <xf numFmtId="0" fontId="5" fillId="0" borderId="10" xfId="0" applyFont="1" applyBorder="1" applyAlignment="1">
      <alignment horizontal="left" vertical="center"/>
    </xf>
    <xf numFmtId="0" fontId="16" fillId="0" borderId="0" xfId="0" applyFont="1" applyAlignment="1">
      <alignment vertical="center" wrapText="1"/>
    </xf>
    <xf numFmtId="0" fontId="5" fillId="0" borderId="48" xfId="0" applyFont="1" applyBorder="1" applyAlignment="1">
      <alignment horizontal="left" vertical="center" wrapText="1"/>
    </xf>
    <xf numFmtId="0" fontId="14" fillId="3" borderId="48" xfId="0" applyFont="1" applyFill="1" applyBorder="1" applyAlignment="1">
      <alignment horizontal="center" vertical="center" wrapText="1"/>
    </xf>
    <xf numFmtId="0" fontId="14" fillId="3" borderId="38" xfId="0" applyFont="1" applyFill="1" applyBorder="1" applyAlignment="1">
      <alignment horizontal="center" vertical="center" wrapText="1"/>
    </xf>
    <xf numFmtId="9" fontId="2" fillId="4"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101"/>
  <sheetViews>
    <sheetView tabSelected="1" topLeftCell="A87" zoomScale="80" zoomScaleNormal="80" workbookViewId="0">
      <selection activeCell="F93" sqref="F93"/>
    </sheetView>
  </sheetViews>
  <sheetFormatPr baseColWidth="10" defaultColWidth="11.42578125" defaultRowHeight="21" x14ac:dyDescent="0.35"/>
  <cols>
    <col min="1" max="1" width="9" style="2" customWidth="1"/>
    <col min="2" max="2" width="6.42578125" style="15" bestFit="1" customWidth="1"/>
    <col min="3" max="3" width="7.42578125" style="2" customWidth="1"/>
    <col min="4" max="4" width="78" style="7" customWidth="1"/>
    <col min="5" max="5" width="29" style="7" customWidth="1"/>
    <col min="6" max="6" width="18" style="2" customWidth="1"/>
    <col min="7" max="7" width="21.85546875" style="2" customWidth="1"/>
    <col min="8" max="8" width="27.140625" style="2" customWidth="1"/>
    <col min="9" max="9" width="25.85546875" style="2" customWidth="1"/>
    <col min="10" max="16384" width="11.42578125" style="2"/>
  </cols>
  <sheetData>
    <row r="1" spans="2:12" ht="13.5" customHeight="1" thickBot="1" x14ac:dyDescent="0.4"/>
    <row r="2" spans="2:12" ht="36" customHeight="1" thickBot="1" x14ac:dyDescent="0.3">
      <c r="B2" s="93" t="s">
        <v>118</v>
      </c>
      <c r="C2" s="94"/>
      <c r="D2" s="94"/>
      <c r="E2" s="94"/>
      <c r="F2" s="94"/>
      <c r="G2" s="95"/>
      <c r="H2" s="1" t="s">
        <v>0</v>
      </c>
    </row>
    <row r="3" spans="2:12" ht="6" customHeight="1" x14ac:dyDescent="0.25">
      <c r="B3" s="16"/>
      <c r="C3" s="28"/>
    </row>
    <row r="4" spans="2:12" ht="28.5" customHeight="1" x14ac:dyDescent="0.25">
      <c r="B4" s="16"/>
      <c r="C4" s="28"/>
      <c r="F4" s="8"/>
      <c r="G4" s="21" t="s">
        <v>1</v>
      </c>
      <c r="H4" s="24"/>
    </row>
    <row r="5" spans="2:12" ht="28.5" customHeight="1" x14ac:dyDescent="0.35">
      <c r="G5" s="21" t="s">
        <v>2</v>
      </c>
      <c r="H5" s="24"/>
    </row>
    <row r="6" spans="2:12" ht="28.5" customHeight="1" x14ac:dyDescent="0.35">
      <c r="G6" s="21" t="s">
        <v>3</v>
      </c>
      <c r="H6" s="24"/>
      <c r="I6" s="128"/>
      <c r="J6" s="128"/>
      <c r="K6" s="128"/>
      <c r="L6" s="128"/>
    </row>
    <row r="7" spans="2:12" ht="21.75" customHeight="1" thickBot="1" x14ac:dyDescent="0.4">
      <c r="I7" s="128"/>
      <c r="J7" s="128"/>
      <c r="K7" s="128"/>
      <c r="L7" s="128"/>
    </row>
    <row r="8" spans="2:12" ht="22.5" customHeight="1" thickBot="1" x14ac:dyDescent="0.3">
      <c r="B8" s="52" t="s">
        <v>4</v>
      </c>
      <c r="C8" s="75" t="s">
        <v>5</v>
      </c>
      <c r="D8" s="102"/>
      <c r="E8" s="76"/>
      <c r="F8" s="9" t="s">
        <v>6</v>
      </c>
      <c r="G8" s="75" t="s">
        <v>7</v>
      </c>
      <c r="H8" s="76"/>
      <c r="I8" s="128"/>
      <c r="J8" s="128"/>
      <c r="K8" s="128"/>
      <c r="L8" s="128"/>
    </row>
    <row r="9" spans="2:12" ht="24" customHeight="1" x14ac:dyDescent="0.25">
      <c r="B9" s="53"/>
      <c r="C9" s="29" t="s">
        <v>8</v>
      </c>
      <c r="D9" s="78" t="s">
        <v>9</v>
      </c>
      <c r="E9" s="78"/>
      <c r="F9" s="10">
        <v>3</v>
      </c>
      <c r="G9" s="96"/>
      <c r="H9" s="97"/>
      <c r="I9" s="128"/>
      <c r="J9" s="128"/>
      <c r="K9" s="128"/>
      <c r="L9" s="128"/>
    </row>
    <row r="10" spans="2:12" ht="35.25" customHeight="1" x14ac:dyDescent="0.25">
      <c r="B10" s="53"/>
      <c r="C10" s="22" t="s">
        <v>10</v>
      </c>
      <c r="D10" s="60" t="s">
        <v>11</v>
      </c>
      <c r="E10" s="60"/>
      <c r="F10" s="11">
        <v>3</v>
      </c>
      <c r="G10" s="83"/>
      <c r="H10" s="84"/>
      <c r="I10" s="128"/>
      <c r="J10" s="128"/>
      <c r="K10" s="128"/>
      <c r="L10" s="128"/>
    </row>
    <row r="11" spans="2:12" ht="27" customHeight="1" x14ac:dyDescent="0.25">
      <c r="B11" s="53"/>
      <c r="C11" s="22" t="s">
        <v>12</v>
      </c>
      <c r="D11" s="80" t="s">
        <v>13</v>
      </c>
      <c r="E11" s="71"/>
      <c r="F11" s="11">
        <v>3</v>
      </c>
      <c r="G11" s="57"/>
      <c r="H11" s="58"/>
      <c r="I11" s="128"/>
      <c r="J11" s="128"/>
      <c r="K11" s="128"/>
      <c r="L11" s="128"/>
    </row>
    <row r="12" spans="2:12" ht="35.25" customHeight="1" x14ac:dyDescent="0.25">
      <c r="B12" s="53"/>
      <c r="C12" s="22" t="s">
        <v>14</v>
      </c>
      <c r="D12" s="60" t="s">
        <v>15</v>
      </c>
      <c r="E12" s="60"/>
      <c r="F12" s="11">
        <v>3</v>
      </c>
      <c r="G12" s="98"/>
      <c r="H12" s="99"/>
      <c r="I12" s="128"/>
      <c r="J12" s="128"/>
      <c r="K12" s="128"/>
      <c r="L12" s="128"/>
    </row>
    <row r="13" spans="2:12" ht="35.25" customHeight="1" x14ac:dyDescent="0.25">
      <c r="B13" s="53"/>
      <c r="C13" s="22" t="s">
        <v>16</v>
      </c>
      <c r="D13" s="80" t="s">
        <v>17</v>
      </c>
      <c r="E13" s="71"/>
      <c r="F13" s="11">
        <v>3</v>
      </c>
      <c r="G13" s="57"/>
      <c r="H13" s="58"/>
    </row>
    <row r="14" spans="2:12" ht="76.5" customHeight="1" x14ac:dyDescent="0.25">
      <c r="B14" s="53"/>
      <c r="C14" s="22" t="s">
        <v>18</v>
      </c>
      <c r="D14" s="60" t="s">
        <v>19</v>
      </c>
      <c r="E14" s="60"/>
      <c r="F14" s="11">
        <v>3</v>
      </c>
      <c r="G14" s="57"/>
      <c r="H14" s="58"/>
    </row>
    <row r="15" spans="2:12" ht="56.25" customHeight="1" x14ac:dyDescent="0.25">
      <c r="B15" s="53"/>
      <c r="C15" s="23" t="s">
        <v>20</v>
      </c>
      <c r="D15" s="60" t="s">
        <v>117</v>
      </c>
      <c r="E15" s="60"/>
      <c r="F15" s="11">
        <v>3</v>
      </c>
      <c r="G15" s="57"/>
      <c r="H15" s="58"/>
    </row>
    <row r="16" spans="2:12" ht="37.5" customHeight="1" x14ac:dyDescent="0.25">
      <c r="B16" s="53"/>
      <c r="C16" s="23" t="s">
        <v>21</v>
      </c>
      <c r="D16" s="60" t="s">
        <v>22</v>
      </c>
      <c r="E16" s="60"/>
      <c r="F16" s="11">
        <v>3</v>
      </c>
      <c r="G16" s="57"/>
      <c r="H16" s="58"/>
    </row>
    <row r="17" spans="2:8" ht="37.5" customHeight="1" x14ac:dyDescent="0.25">
      <c r="B17" s="53"/>
      <c r="C17" s="23" t="s">
        <v>23</v>
      </c>
      <c r="D17" s="80" t="s">
        <v>24</v>
      </c>
      <c r="E17" s="71"/>
      <c r="F17" s="11">
        <v>3</v>
      </c>
      <c r="G17" s="57"/>
      <c r="H17" s="58"/>
    </row>
    <row r="18" spans="2:8" ht="35.25" customHeight="1" x14ac:dyDescent="0.25">
      <c r="B18" s="53"/>
      <c r="C18" s="23" t="s">
        <v>25</v>
      </c>
      <c r="D18" s="109" t="s">
        <v>26</v>
      </c>
      <c r="E18" s="109"/>
      <c r="F18" s="11">
        <v>3</v>
      </c>
      <c r="G18" s="83"/>
      <c r="H18" s="84"/>
    </row>
    <row r="19" spans="2:8" ht="160.5" customHeight="1" x14ac:dyDescent="0.25">
      <c r="B19" s="53"/>
      <c r="C19" s="30" t="s">
        <v>27</v>
      </c>
      <c r="D19" s="60" t="s">
        <v>28</v>
      </c>
      <c r="E19" s="60"/>
      <c r="F19" s="12">
        <v>3</v>
      </c>
      <c r="G19" s="57"/>
      <c r="H19" s="58"/>
    </row>
    <row r="20" spans="2:8" ht="21.75" customHeight="1" x14ac:dyDescent="0.25">
      <c r="B20" s="53"/>
      <c r="C20" s="30" t="s">
        <v>29</v>
      </c>
      <c r="D20" s="60" t="s">
        <v>30</v>
      </c>
      <c r="E20" s="60"/>
      <c r="F20" s="12">
        <v>3</v>
      </c>
      <c r="G20" s="57"/>
      <c r="H20" s="58"/>
    </row>
    <row r="21" spans="2:8" ht="96.95" customHeight="1" x14ac:dyDescent="0.25">
      <c r="B21" s="53"/>
      <c r="C21" s="30" t="s">
        <v>31</v>
      </c>
      <c r="D21" s="60" t="s">
        <v>32</v>
      </c>
      <c r="E21" s="60"/>
      <c r="F21" s="12">
        <v>3</v>
      </c>
      <c r="G21" s="83"/>
      <c r="H21" s="84"/>
    </row>
    <row r="22" spans="2:8" ht="59.1" customHeight="1" x14ac:dyDescent="0.25">
      <c r="B22" s="53"/>
      <c r="C22" s="30" t="s">
        <v>33</v>
      </c>
      <c r="D22" s="60" t="s">
        <v>34</v>
      </c>
      <c r="E22" s="60"/>
      <c r="F22" s="12">
        <v>3</v>
      </c>
      <c r="G22" s="83"/>
      <c r="H22" s="84"/>
    </row>
    <row r="23" spans="2:8" ht="33.950000000000003" customHeight="1" x14ac:dyDescent="0.25">
      <c r="B23" s="53"/>
      <c r="C23" s="30" t="s">
        <v>35</v>
      </c>
      <c r="D23" s="60" t="s">
        <v>36</v>
      </c>
      <c r="E23" s="60"/>
      <c r="F23" s="12">
        <v>3</v>
      </c>
      <c r="G23" s="57"/>
      <c r="H23" s="58"/>
    </row>
    <row r="24" spans="2:8" ht="33.950000000000003" customHeight="1" x14ac:dyDescent="0.25">
      <c r="B24" s="53"/>
      <c r="C24" s="30" t="s">
        <v>37</v>
      </c>
      <c r="D24" s="60" t="s">
        <v>38</v>
      </c>
      <c r="E24" s="60"/>
      <c r="F24" s="12">
        <v>3</v>
      </c>
      <c r="G24" s="57"/>
      <c r="H24" s="58"/>
    </row>
    <row r="25" spans="2:8" ht="41.25" customHeight="1" thickBot="1" x14ac:dyDescent="0.3">
      <c r="B25" s="54"/>
      <c r="C25" s="31" t="s">
        <v>39</v>
      </c>
      <c r="D25" s="79" t="s">
        <v>40</v>
      </c>
      <c r="E25" s="79"/>
      <c r="F25" s="122">
        <v>3</v>
      </c>
      <c r="G25" s="85"/>
      <c r="H25" s="86"/>
    </row>
    <row r="26" spans="2:8" ht="27.75" customHeight="1" thickBot="1" x14ac:dyDescent="0.4">
      <c r="C26" s="28"/>
    </row>
    <row r="27" spans="2:8" ht="30" customHeight="1" thickBot="1" x14ac:dyDescent="0.3">
      <c r="B27" s="52" t="s">
        <v>41</v>
      </c>
      <c r="C27" s="87" t="s">
        <v>42</v>
      </c>
      <c r="D27" s="88"/>
      <c r="E27" s="89"/>
      <c r="F27" s="9" t="s">
        <v>6</v>
      </c>
      <c r="G27" s="75" t="s">
        <v>7</v>
      </c>
      <c r="H27" s="76"/>
    </row>
    <row r="28" spans="2:8" ht="57" customHeight="1" x14ac:dyDescent="0.25">
      <c r="B28" s="53"/>
      <c r="C28" s="25" t="s">
        <v>8</v>
      </c>
      <c r="D28" s="105" t="s">
        <v>43</v>
      </c>
      <c r="E28" s="106"/>
      <c r="F28" s="20">
        <v>3</v>
      </c>
      <c r="G28" s="55"/>
      <c r="H28" s="56"/>
    </row>
    <row r="29" spans="2:8" ht="42.75" customHeight="1" x14ac:dyDescent="0.25">
      <c r="B29" s="53"/>
      <c r="C29" s="25" t="s">
        <v>10</v>
      </c>
      <c r="D29" s="59" t="s">
        <v>44</v>
      </c>
      <c r="E29" s="60"/>
      <c r="F29" s="10">
        <v>3</v>
      </c>
      <c r="G29" s="57"/>
      <c r="H29" s="58"/>
    </row>
    <row r="30" spans="2:8" ht="42.75" customHeight="1" x14ac:dyDescent="0.25">
      <c r="B30" s="53"/>
      <c r="C30" s="26" t="s">
        <v>12</v>
      </c>
      <c r="D30" s="59" t="s">
        <v>45</v>
      </c>
      <c r="E30" s="60"/>
      <c r="F30" s="11">
        <v>3</v>
      </c>
      <c r="G30" s="83"/>
      <c r="H30" s="84"/>
    </row>
    <row r="31" spans="2:8" ht="42.75" customHeight="1" x14ac:dyDescent="0.25">
      <c r="B31" s="53"/>
      <c r="C31" s="26" t="s">
        <v>14</v>
      </c>
      <c r="D31" s="59" t="s">
        <v>46</v>
      </c>
      <c r="E31" s="60"/>
      <c r="F31" s="11">
        <v>3</v>
      </c>
      <c r="G31" s="83"/>
      <c r="H31" s="84"/>
    </row>
    <row r="32" spans="2:8" ht="42.75" customHeight="1" x14ac:dyDescent="0.25">
      <c r="B32" s="53"/>
      <c r="C32" s="26" t="s">
        <v>16</v>
      </c>
      <c r="D32" s="59" t="s">
        <v>47</v>
      </c>
      <c r="E32" s="60"/>
      <c r="F32" s="11">
        <v>3</v>
      </c>
      <c r="G32" s="83"/>
      <c r="H32" s="84"/>
    </row>
    <row r="33" spans="2:8" ht="42.75" customHeight="1" thickBot="1" x14ac:dyDescent="0.3">
      <c r="B33" s="54"/>
      <c r="C33" s="27" t="s">
        <v>18</v>
      </c>
      <c r="D33" s="101" t="s">
        <v>48</v>
      </c>
      <c r="E33" s="79"/>
      <c r="F33" s="122">
        <v>3</v>
      </c>
      <c r="G33" s="85"/>
      <c r="H33" s="86"/>
    </row>
    <row r="34" spans="2:8" ht="32.25" customHeight="1" thickBot="1" x14ac:dyDescent="0.4"/>
    <row r="35" spans="2:8" ht="36.75" customHeight="1" thickBot="1" x14ac:dyDescent="0.3">
      <c r="B35" s="52" t="s">
        <v>49</v>
      </c>
      <c r="C35" s="90" t="s">
        <v>50</v>
      </c>
      <c r="D35" s="91"/>
      <c r="E35" s="92"/>
      <c r="F35" s="9" t="s">
        <v>6</v>
      </c>
      <c r="G35" s="75" t="s">
        <v>7</v>
      </c>
      <c r="H35" s="76"/>
    </row>
    <row r="36" spans="2:8" ht="42.75" customHeight="1" x14ac:dyDescent="0.25">
      <c r="B36" s="53"/>
      <c r="C36" s="29" t="s">
        <v>8</v>
      </c>
      <c r="D36" s="105" t="s">
        <v>51</v>
      </c>
      <c r="E36" s="106"/>
      <c r="F36" s="20">
        <v>3</v>
      </c>
      <c r="G36" s="55"/>
      <c r="H36" s="56"/>
    </row>
    <row r="37" spans="2:8" ht="42.75" customHeight="1" x14ac:dyDescent="0.25">
      <c r="B37" s="53"/>
      <c r="C37" s="22" t="s">
        <v>10</v>
      </c>
      <c r="D37" s="59" t="s">
        <v>52</v>
      </c>
      <c r="E37" s="60"/>
      <c r="F37" s="11">
        <v>3</v>
      </c>
      <c r="G37" s="83"/>
      <c r="H37" s="84"/>
    </row>
    <row r="38" spans="2:8" ht="42.75" customHeight="1" x14ac:dyDescent="0.25">
      <c r="B38" s="53"/>
      <c r="C38" s="22" t="s">
        <v>12</v>
      </c>
      <c r="D38" s="59" t="s">
        <v>53</v>
      </c>
      <c r="E38" s="60"/>
      <c r="F38" s="11">
        <v>3</v>
      </c>
      <c r="G38" s="83"/>
      <c r="H38" s="84"/>
    </row>
    <row r="39" spans="2:8" ht="42.75" customHeight="1" x14ac:dyDescent="0.25">
      <c r="B39" s="53"/>
      <c r="C39" s="22" t="s">
        <v>14</v>
      </c>
      <c r="D39" s="103" t="s">
        <v>54</v>
      </c>
      <c r="E39" s="104"/>
      <c r="F39" s="11">
        <v>3</v>
      </c>
      <c r="G39" s="83"/>
      <c r="H39" s="84"/>
    </row>
    <row r="40" spans="2:8" ht="42.75" customHeight="1" x14ac:dyDescent="0.25">
      <c r="B40" s="53"/>
      <c r="C40" s="22" t="s">
        <v>16</v>
      </c>
      <c r="D40" s="59" t="s">
        <v>55</v>
      </c>
      <c r="E40" s="60"/>
      <c r="F40" s="11">
        <v>3</v>
      </c>
      <c r="G40" s="83"/>
      <c r="H40" s="84"/>
    </row>
    <row r="41" spans="2:8" ht="42.75" customHeight="1" x14ac:dyDescent="0.25">
      <c r="B41" s="53"/>
      <c r="C41" s="22" t="s">
        <v>18</v>
      </c>
      <c r="D41" s="59" t="s">
        <v>56</v>
      </c>
      <c r="E41" s="60"/>
      <c r="F41" s="11">
        <v>3</v>
      </c>
      <c r="G41" s="83"/>
      <c r="H41" s="84"/>
    </row>
    <row r="42" spans="2:8" ht="42.75" customHeight="1" x14ac:dyDescent="0.25">
      <c r="B42" s="53"/>
      <c r="C42" s="32" t="s">
        <v>20</v>
      </c>
      <c r="D42" s="59" t="s">
        <v>57</v>
      </c>
      <c r="E42" s="60"/>
      <c r="F42" s="12">
        <v>3</v>
      </c>
      <c r="G42" s="57"/>
      <c r="H42" s="58"/>
    </row>
    <row r="43" spans="2:8" ht="42.75" customHeight="1" thickBot="1" x14ac:dyDescent="0.3">
      <c r="B43" s="54"/>
      <c r="C43" s="33" t="s">
        <v>21</v>
      </c>
      <c r="D43" s="100" t="s">
        <v>58</v>
      </c>
      <c r="E43" s="127"/>
      <c r="F43" s="122">
        <v>3</v>
      </c>
      <c r="G43" s="107"/>
      <c r="H43" s="108"/>
    </row>
    <row r="44" spans="2:8" ht="34.5" customHeight="1" thickBot="1" x14ac:dyDescent="0.4"/>
    <row r="45" spans="2:8" ht="22.5" customHeight="1" thickBot="1" x14ac:dyDescent="0.3">
      <c r="B45" s="52" t="s">
        <v>59</v>
      </c>
      <c r="C45" s="72" t="s">
        <v>60</v>
      </c>
      <c r="D45" s="73"/>
      <c r="E45" s="74"/>
      <c r="F45" s="9" t="s">
        <v>6</v>
      </c>
      <c r="G45" s="75" t="s">
        <v>7</v>
      </c>
      <c r="H45" s="76"/>
    </row>
    <row r="46" spans="2:8" ht="67.5" customHeight="1" x14ac:dyDescent="0.25">
      <c r="B46" s="53"/>
      <c r="C46" s="25" t="s">
        <v>8</v>
      </c>
      <c r="D46" s="105" t="s">
        <v>61</v>
      </c>
      <c r="E46" s="106"/>
      <c r="F46" s="20">
        <v>3</v>
      </c>
      <c r="G46" s="55"/>
      <c r="H46" s="56"/>
    </row>
    <row r="47" spans="2:8" ht="39" customHeight="1" x14ac:dyDescent="0.25">
      <c r="B47" s="53"/>
      <c r="C47" s="26" t="s">
        <v>10</v>
      </c>
      <c r="D47" s="59" t="s">
        <v>62</v>
      </c>
      <c r="E47" s="60"/>
      <c r="F47" s="11">
        <v>3</v>
      </c>
      <c r="G47" s="57"/>
      <c r="H47" s="58"/>
    </row>
    <row r="48" spans="2:8" ht="39" customHeight="1" x14ac:dyDescent="0.25">
      <c r="B48" s="53"/>
      <c r="C48" s="26" t="s">
        <v>12</v>
      </c>
      <c r="D48" s="59" t="s">
        <v>63</v>
      </c>
      <c r="E48" s="60"/>
      <c r="F48" s="11">
        <v>3</v>
      </c>
      <c r="G48" s="57"/>
      <c r="H48" s="58"/>
    </row>
    <row r="49" spans="2:8" ht="39" customHeight="1" x14ac:dyDescent="0.25">
      <c r="B49" s="53"/>
      <c r="C49" s="26" t="s">
        <v>14</v>
      </c>
      <c r="D49" s="70" t="s">
        <v>64</v>
      </c>
      <c r="E49" s="71"/>
      <c r="F49" s="11">
        <v>3</v>
      </c>
      <c r="G49" s="57"/>
      <c r="H49" s="58"/>
    </row>
    <row r="50" spans="2:8" ht="39" customHeight="1" x14ac:dyDescent="0.25">
      <c r="B50" s="53"/>
      <c r="C50" s="26" t="s">
        <v>16</v>
      </c>
      <c r="D50" s="70" t="s">
        <v>65</v>
      </c>
      <c r="E50" s="71"/>
      <c r="F50" s="11">
        <v>3</v>
      </c>
      <c r="G50" s="57"/>
      <c r="H50" s="58"/>
    </row>
    <row r="51" spans="2:8" ht="39" customHeight="1" x14ac:dyDescent="0.25">
      <c r="B51" s="53"/>
      <c r="C51" s="26" t="s">
        <v>18</v>
      </c>
      <c r="D51" s="59" t="s">
        <v>66</v>
      </c>
      <c r="E51" s="60"/>
      <c r="F51" s="11">
        <v>3</v>
      </c>
      <c r="G51" s="57"/>
      <c r="H51" s="58"/>
    </row>
    <row r="52" spans="2:8" ht="39" customHeight="1" x14ac:dyDescent="0.25">
      <c r="B52" s="53"/>
      <c r="C52" s="26" t="s">
        <v>20</v>
      </c>
      <c r="D52" s="59" t="s">
        <v>67</v>
      </c>
      <c r="E52" s="60"/>
      <c r="F52" s="11">
        <v>3</v>
      </c>
      <c r="G52" s="57"/>
      <c r="H52" s="58"/>
    </row>
    <row r="53" spans="2:8" ht="39" customHeight="1" x14ac:dyDescent="0.25">
      <c r="B53" s="53"/>
      <c r="C53" s="26" t="s">
        <v>21</v>
      </c>
      <c r="D53" s="59" t="s">
        <v>68</v>
      </c>
      <c r="E53" s="60"/>
      <c r="F53" s="11">
        <v>3</v>
      </c>
      <c r="G53" s="57"/>
      <c r="H53" s="58"/>
    </row>
    <row r="54" spans="2:8" ht="39" customHeight="1" x14ac:dyDescent="0.25">
      <c r="B54" s="53"/>
      <c r="C54" s="26" t="s">
        <v>23</v>
      </c>
      <c r="D54" s="59" t="s">
        <v>69</v>
      </c>
      <c r="E54" s="60"/>
      <c r="F54" s="11">
        <v>3</v>
      </c>
      <c r="G54" s="57"/>
      <c r="H54" s="58"/>
    </row>
    <row r="55" spans="2:8" ht="39" customHeight="1" x14ac:dyDescent="0.25">
      <c r="B55" s="53"/>
      <c r="C55" s="26" t="s">
        <v>25</v>
      </c>
      <c r="D55" s="70" t="s">
        <v>70</v>
      </c>
      <c r="E55" s="71"/>
      <c r="F55" s="11">
        <v>3</v>
      </c>
      <c r="G55" s="57"/>
      <c r="H55" s="58"/>
    </row>
    <row r="56" spans="2:8" ht="39" customHeight="1" x14ac:dyDescent="0.25">
      <c r="B56" s="53"/>
      <c r="C56" s="26" t="s">
        <v>27</v>
      </c>
      <c r="D56" s="59" t="s">
        <v>71</v>
      </c>
      <c r="E56" s="60"/>
      <c r="F56" s="11">
        <v>3</v>
      </c>
      <c r="G56" s="57"/>
      <c r="H56" s="58"/>
    </row>
    <row r="57" spans="2:8" ht="39" customHeight="1" x14ac:dyDescent="0.25">
      <c r="B57" s="53"/>
      <c r="C57" s="26" t="s">
        <v>29</v>
      </c>
      <c r="D57" s="59" t="s">
        <v>72</v>
      </c>
      <c r="E57" s="60"/>
      <c r="F57" s="11">
        <v>3</v>
      </c>
      <c r="G57" s="57"/>
      <c r="H57" s="58"/>
    </row>
    <row r="58" spans="2:8" ht="48.75" customHeight="1" x14ac:dyDescent="0.25">
      <c r="B58" s="53"/>
      <c r="C58" s="26" t="s">
        <v>31</v>
      </c>
      <c r="D58" s="59" t="s">
        <v>73</v>
      </c>
      <c r="E58" s="60"/>
      <c r="F58" s="11">
        <v>3</v>
      </c>
      <c r="G58" s="83"/>
      <c r="H58" s="84"/>
    </row>
    <row r="59" spans="2:8" ht="76.5" customHeight="1" thickBot="1" x14ac:dyDescent="0.3">
      <c r="B59" s="54"/>
      <c r="C59" s="27" t="s">
        <v>33</v>
      </c>
      <c r="D59" s="101" t="s">
        <v>74</v>
      </c>
      <c r="E59" s="79"/>
      <c r="F59" s="122">
        <v>3</v>
      </c>
      <c r="G59" s="85"/>
      <c r="H59" s="86"/>
    </row>
    <row r="60" spans="2:8" ht="34.5" customHeight="1" thickBot="1" x14ac:dyDescent="0.4"/>
    <row r="61" spans="2:8" ht="33.75" customHeight="1" thickBot="1" x14ac:dyDescent="0.3">
      <c r="B61" s="52" t="s">
        <v>75</v>
      </c>
      <c r="C61" s="87" t="s">
        <v>76</v>
      </c>
      <c r="D61" s="88"/>
      <c r="E61" s="89"/>
      <c r="F61" s="9" t="s">
        <v>6</v>
      </c>
      <c r="G61" s="75" t="s">
        <v>7</v>
      </c>
      <c r="H61" s="76"/>
    </row>
    <row r="62" spans="2:8" ht="53.25" customHeight="1" x14ac:dyDescent="0.25">
      <c r="B62" s="53"/>
      <c r="C62" s="26" t="s">
        <v>8</v>
      </c>
      <c r="D62" s="59" t="s">
        <v>77</v>
      </c>
      <c r="E62" s="60"/>
      <c r="F62" s="20">
        <v>3</v>
      </c>
      <c r="G62" s="83"/>
      <c r="H62" s="84"/>
    </row>
    <row r="63" spans="2:8" ht="33.950000000000003" customHeight="1" x14ac:dyDescent="0.25">
      <c r="B63" s="53"/>
      <c r="C63" s="26" t="s">
        <v>10</v>
      </c>
      <c r="D63" s="70" t="s">
        <v>78</v>
      </c>
      <c r="E63" s="71"/>
      <c r="F63" s="11">
        <v>3</v>
      </c>
      <c r="G63" s="57"/>
      <c r="H63" s="58"/>
    </row>
    <row r="64" spans="2:8" ht="34.5" customHeight="1" x14ac:dyDescent="0.25">
      <c r="B64" s="53"/>
      <c r="C64" s="26" t="s">
        <v>12</v>
      </c>
      <c r="D64" s="59" t="s">
        <v>79</v>
      </c>
      <c r="E64" s="60"/>
      <c r="F64" s="11">
        <v>3</v>
      </c>
      <c r="G64" s="57"/>
      <c r="H64" s="58"/>
    </row>
    <row r="65" spans="2:8" ht="39.75" customHeight="1" x14ac:dyDescent="0.25">
      <c r="B65" s="53"/>
      <c r="C65" s="26" t="s">
        <v>14</v>
      </c>
      <c r="D65" s="59" t="s">
        <v>80</v>
      </c>
      <c r="E65" s="60"/>
      <c r="F65" s="11">
        <v>3</v>
      </c>
      <c r="G65" s="57"/>
      <c r="H65" s="58"/>
    </row>
    <row r="66" spans="2:8" ht="39.75" customHeight="1" x14ac:dyDescent="0.25">
      <c r="B66" s="53"/>
      <c r="C66" s="26" t="s">
        <v>16</v>
      </c>
      <c r="D66" s="70" t="s">
        <v>81</v>
      </c>
      <c r="E66" s="71"/>
      <c r="F66" s="11">
        <v>3</v>
      </c>
      <c r="G66" s="57"/>
      <c r="H66" s="58"/>
    </row>
    <row r="67" spans="2:8" ht="39.75" customHeight="1" x14ac:dyDescent="0.25">
      <c r="B67" s="53"/>
      <c r="C67" s="26" t="s">
        <v>18</v>
      </c>
      <c r="D67" s="64" t="s">
        <v>82</v>
      </c>
      <c r="E67" s="65"/>
      <c r="F67" s="11">
        <v>3</v>
      </c>
      <c r="G67" s="57"/>
      <c r="H67" s="58"/>
    </row>
    <row r="68" spans="2:8" ht="39" customHeight="1" x14ac:dyDescent="0.25">
      <c r="B68" s="53"/>
      <c r="C68" s="26" t="s">
        <v>20</v>
      </c>
      <c r="D68" s="59" t="s">
        <v>83</v>
      </c>
      <c r="E68" s="60"/>
      <c r="F68" s="11">
        <v>3</v>
      </c>
      <c r="G68" s="57"/>
      <c r="H68" s="58"/>
    </row>
    <row r="69" spans="2:8" ht="37.5" customHeight="1" x14ac:dyDescent="0.25">
      <c r="B69" s="53"/>
      <c r="C69" s="26" t="s">
        <v>21</v>
      </c>
      <c r="D69" s="59" t="s">
        <v>84</v>
      </c>
      <c r="E69" s="60"/>
      <c r="F69" s="11">
        <v>3</v>
      </c>
      <c r="G69" s="57"/>
      <c r="H69" s="58"/>
    </row>
    <row r="70" spans="2:8" ht="37.5" customHeight="1" x14ac:dyDescent="0.25">
      <c r="B70" s="53"/>
      <c r="C70" s="26" t="s">
        <v>23</v>
      </c>
      <c r="D70" s="59" t="s">
        <v>85</v>
      </c>
      <c r="E70" s="60"/>
      <c r="F70" s="11">
        <v>3</v>
      </c>
      <c r="G70" s="57"/>
      <c r="H70" s="58"/>
    </row>
    <row r="71" spans="2:8" ht="37.5" customHeight="1" x14ac:dyDescent="0.25">
      <c r="B71" s="53"/>
      <c r="C71" s="47" t="s">
        <v>25</v>
      </c>
      <c r="D71" s="70" t="s">
        <v>116</v>
      </c>
      <c r="E71" s="71"/>
      <c r="F71" s="11">
        <v>3</v>
      </c>
      <c r="G71" s="48"/>
      <c r="H71" s="49"/>
    </row>
    <row r="72" spans="2:8" ht="37.5" customHeight="1" x14ac:dyDescent="0.25">
      <c r="B72" s="53"/>
      <c r="C72" s="47" t="s">
        <v>27</v>
      </c>
      <c r="D72" s="110" t="s">
        <v>86</v>
      </c>
      <c r="E72" s="111"/>
      <c r="F72" s="11">
        <v>3</v>
      </c>
      <c r="G72" s="48"/>
      <c r="H72" s="49"/>
    </row>
    <row r="73" spans="2:8" ht="34.5" customHeight="1" thickBot="1" x14ac:dyDescent="0.3">
      <c r="B73" s="54"/>
      <c r="C73" s="27" t="s">
        <v>29</v>
      </c>
      <c r="D73" s="101" t="s">
        <v>87</v>
      </c>
      <c r="E73" s="79"/>
      <c r="F73" s="122">
        <v>3</v>
      </c>
      <c r="G73" s="107"/>
      <c r="H73" s="108"/>
    </row>
    <row r="74" spans="2:8" ht="34.5" customHeight="1" thickBot="1" x14ac:dyDescent="0.3">
      <c r="B74" s="17"/>
      <c r="C74" s="35"/>
      <c r="D74" s="6"/>
      <c r="E74" s="6"/>
      <c r="F74" s="14"/>
      <c r="G74" s="14"/>
      <c r="H74" s="14"/>
    </row>
    <row r="75" spans="2:8" ht="22.5" customHeight="1" thickBot="1" x14ac:dyDescent="0.3">
      <c r="B75" s="52" t="s">
        <v>88</v>
      </c>
      <c r="C75" s="72" t="s">
        <v>89</v>
      </c>
      <c r="D75" s="73"/>
      <c r="E75" s="74"/>
      <c r="F75" s="9" t="s">
        <v>6</v>
      </c>
      <c r="G75" s="75" t="s">
        <v>7</v>
      </c>
      <c r="H75" s="76"/>
    </row>
    <row r="76" spans="2:8" ht="48" customHeight="1" x14ac:dyDescent="0.25">
      <c r="B76" s="53"/>
      <c r="C76" s="34" t="s">
        <v>8</v>
      </c>
      <c r="D76" s="62" t="s">
        <v>90</v>
      </c>
      <c r="E76" s="63"/>
      <c r="F76" s="10">
        <v>3</v>
      </c>
      <c r="G76" s="57"/>
      <c r="H76" s="58"/>
    </row>
    <row r="77" spans="2:8" ht="48" customHeight="1" x14ac:dyDescent="0.25">
      <c r="B77" s="53"/>
      <c r="C77" s="34" t="s">
        <v>10</v>
      </c>
      <c r="D77" s="62" t="s">
        <v>91</v>
      </c>
      <c r="E77" s="63"/>
      <c r="F77" s="36">
        <v>3</v>
      </c>
      <c r="G77" s="57"/>
      <c r="H77" s="58"/>
    </row>
    <row r="78" spans="2:8" ht="48" customHeight="1" x14ac:dyDescent="0.25">
      <c r="B78" s="53"/>
      <c r="C78" s="34" t="s">
        <v>12</v>
      </c>
      <c r="D78" s="70" t="s">
        <v>92</v>
      </c>
      <c r="E78" s="71"/>
      <c r="F78" s="131">
        <v>3</v>
      </c>
      <c r="G78" s="57"/>
      <c r="H78" s="58"/>
    </row>
    <row r="79" spans="2:8" ht="48" customHeight="1" x14ac:dyDescent="0.25">
      <c r="B79" s="53"/>
      <c r="C79" s="23" t="s">
        <v>14</v>
      </c>
      <c r="D79" s="59" t="s">
        <v>93</v>
      </c>
      <c r="E79" s="60"/>
      <c r="F79" s="19">
        <v>3</v>
      </c>
      <c r="G79" s="57"/>
      <c r="H79" s="58"/>
    </row>
    <row r="80" spans="2:8" ht="48" customHeight="1" x14ac:dyDescent="0.25">
      <c r="B80" s="53"/>
      <c r="C80" s="23" t="s">
        <v>16</v>
      </c>
      <c r="D80" s="77" t="s">
        <v>94</v>
      </c>
      <c r="E80" s="78"/>
      <c r="F80" s="11">
        <v>3</v>
      </c>
      <c r="G80" s="66"/>
      <c r="H80" s="67"/>
    </row>
    <row r="81" spans="2:8" ht="48" customHeight="1" x14ac:dyDescent="0.25">
      <c r="B81" s="53"/>
      <c r="C81" s="50" t="s">
        <v>18</v>
      </c>
      <c r="D81" s="70" t="s">
        <v>95</v>
      </c>
      <c r="E81" s="71"/>
      <c r="F81" s="11">
        <v>3</v>
      </c>
      <c r="G81" s="66"/>
      <c r="H81" s="67"/>
    </row>
    <row r="82" spans="2:8" ht="48" customHeight="1" x14ac:dyDescent="0.25">
      <c r="B82" s="53"/>
      <c r="C82" s="34" t="s">
        <v>20</v>
      </c>
      <c r="D82" s="59" t="s">
        <v>96</v>
      </c>
      <c r="E82" s="60"/>
      <c r="F82" s="123">
        <v>3</v>
      </c>
      <c r="G82" s="57"/>
      <c r="H82" s="58"/>
    </row>
    <row r="83" spans="2:8" ht="48" customHeight="1" thickBot="1" x14ac:dyDescent="0.3">
      <c r="B83" s="54"/>
      <c r="C83" s="39" t="s">
        <v>21</v>
      </c>
      <c r="D83" s="61" t="s">
        <v>115</v>
      </c>
      <c r="E83" s="129"/>
      <c r="F83" s="130">
        <v>3</v>
      </c>
      <c r="G83" s="68"/>
      <c r="H83" s="69"/>
    </row>
    <row r="84" spans="2:8" ht="36.75" customHeight="1" thickBot="1" x14ac:dyDescent="0.3">
      <c r="B84" s="17"/>
      <c r="C84" s="28"/>
      <c r="D84" s="13"/>
      <c r="E84" s="13"/>
      <c r="F84" s="14"/>
      <c r="G84" s="14"/>
      <c r="H84" s="14"/>
    </row>
    <row r="85" spans="2:8" ht="27" customHeight="1" thickBot="1" x14ac:dyDescent="0.3">
      <c r="B85" s="52" t="s">
        <v>97</v>
      </c>
      <c r="C85" s="90" t="s">
        <v>98</v>
      </c>
      <c r="D85" s="91"/>
      <c r="E85" s="92"/>
      <c r="F85" s="9" t="s">
        <v>6</v>
      </c>
      <c r="G85" s="75" t="s">
        <v>7</v>
      </c>
      <c r="H85" s="76"/>
    </row>
    <row r="86" spans="2:8" ht="32.25" customHeight="1" x14ac:dyDescent="0.25">
      <c r="B86" s="53"/>
      <c r="C86" s="29" t="s">
        <v>8</v>
      </c>
      <c r="D86" s="105" t="s">
        <v>99</v>
      </c>
      <c r="E86" s="106"/>
      <c r="F86" s="20">
        <v>3</v>
      </c>
      <c r="G86" s="55"/>
      <c r="H86" s="56"/>
    </row>
    <row r="87" spans="2:8" ht="33.75" customHeight="1" x14ac:dyDescent="0.25">
      <c r="B87" s="53"/>
      <c r="C87" s="22" t="s">
        <v>10</v>
      </c>
      <c r="D87" s="59" t="s">
        <v>100</v>
      </c>
      <c r="E87" s="60"/>
      <c r="F87" s="11">
        <v>3</v>
      </c>
      <c r="G87" s="83"/>
      <c r="H87" s="84"/>
    </row>
    <row r="88" spans="2:8" ht="26.25" customHeight="1" thickBot="1" x14ac:dyDescent="0.3">
      <c r="B88" s="54"/>
      <c r="C88" s="33" t="s">
        <v>12</v>
      </c>
      <c r="D88" s="101" t="s">
        <v>101</v>
      </c>
      <c r="E88" s="79"/>
      <c r="F88" s="122">
        <v>3</v>
      </c>
      <c r="G88" s="85"/>
      <c r="H88" s="86"/>
    </row>
    <row r="89" spans="2:8" ht="23.25" customHeight="1" thickBot="1" x14ac:dyDescent="0.3">
      <c r="B89" s="17"/>
      <c r="C89" s="28"/>
      <c r="D89" s="13"/>
      <c r="E89" s="13"/>
      <c r="F89" s="14"/>
      <c r="G89" s="14"/>
      <c r="H89" s="14"/>
    </row>
    <row r="90" spans="2:8" ht="22.5" customHeight="1" thickBot="1" x14ac:dyDescent="0.3">
      <c r="B90" s="52" t="s">
        <v>102</v>
      </c>
      <c r="C90" s="72" t="s">
        <v>103</v>
      </c>
      <c r="D90" s="73"/>
      <c r="E90" s="74"/>
      <c r="F90" s="9" t="s">
        <v>6</v>
      </c>
      <c r="G90" s="75" t="s">
        <v>7</v>
      </c>
      <c r="H90" s="76"/>
    </row>
    <row r="91" spans="2:8" ht="35.25" customHeight="1" x14ac:dyDescent="0.25">
      <c r="B91" s="53"/>
      <c r="C91" s="34" t="s">
        <v>8</v>
      </c>
      <c r="D91" s="112" t="s">
        <v>104</v>
      </c>
      <c r="E91" s="113"/>
      <c r="F91" s="20">
        <v>3</v>
      </c>
      <c r="G91" s="81"/>
      <c r="H91" s="82"/>
    </row>
    <row r="92" spans="2:8" ht="35.25" customHeight="1" x14ac:dyDescent="0.25">
      <c r="B92" s="53"/>
      <c r="C92" s="34" t="s">
        <v>10</v>
      </c>
      <c r="D92" s="62" t="s">
        <v>105</v>
      </c>
      <c r="E92" s="63"/>
      <c r="F92" s="10">
        <v>3</v>
      </c>
      <c r="G92" s="57"/>
      <c r="H92" s="58"/>
    </row>
    <row r="93" spans="2:8" ht="35.25" customHeight="1" x14ac:dyDescent="0.25">
      <c r="B93" s="53"/>
      <c r="C93" s="23" t="s">
        <v>12</v>
      </c>
      <c r="D93" s="59" t="s">
        <v>106</v>
      </c>
      <c r="E93" s="60"/>
      <c r="F93" s="19">
        <v>3</v>
      </c>
      <c r="G93" s="57"/>
      <c r="H93" s="58"/>
    </row>
    <row r="94" spans="2:8" ht="39.950000000000003" customHeight="1" thickBot="1" x14ac:dyDescent="0.3">
      <c r="B94" s="54"/>
      <c r="C94" s="31" t="s">
        <v>14</v>
      </c>
      <c r="D94" s="61" t="s">
        <v>107</v>
      </c>
      <c r="E94" s="129"/>
      <c r="F94" s="122">
        <v>3</v>
      </c>
      <c r="G94" s="107"/>
      <c r="H94" s="108"/>
    </row>
    <row r="95" spans="2:8" ht="18.600000000000001" customHeight="1" thickBot="1" x14ac:dyDescent="0.3">
      <c r="B95" s="18"/>
      <c r="D95" s="3"/>
      <c r="E95" s="4"/>
      <c r="F95" s="5"/>
    </row>
    <row r="96" spans="2:8" ht="18.600000000000001" customHeight="1" thickBot="1" x14ac:dyDescent="0.3">
      <c r="B96" s="18"/>
      <c r="D96" s="3"/>
      <c r="E96" s="4"/>
      <c r="F96" s="132">
        <f>(Hoja2!H6)</f>
        <v>1</v>
      </c>
    </row>
    <row r="97" spans="2:6" ht="18.600000000000001" customHeight="1" x14ac:dyDescent="0.25">
      <c r="B97" s="37" t="s">
        <v>108</v>
      </c>
      <c r="C97" s="37"/>
      <c r="D97" s="37"/>
      <c r="E97" s="4"/>
      <c r="F97" s="5"/>
    </row>
    <row r="98" spans="2:6" ht="18" customHeight="1" x14ac:dyDescent="0.25">
      <c r="B98" s="38" t="s">
        <v>109</v>
      </c>
      <c r="C98" s="38"/>
      <c r="D98" s="38"/>
      <c r="E98" s="3"/>
      <c r="F98" s="5"/>
    </row>
    <row r="99" spans="2:6" ht="18" customHeight="1" x14ac:dyDescent="0.25">
      <c r="B99" s="38" t="s">
        <v>110</v>
      </c>
      <c r="C99" s="38"/>
      <c r="D99" s="38"/>
      <c r="E99" s="6"/>
    </row>
    <row r="100" spans="2:6" ht="18" customHeight="1" x14ac:dyDescent="0.25">
      <c r="B100" s="38" t="s">
        <v>111</v>
      </c>
      <c r="C100" s="38"/>
      <c r="D100" s="38"/>
      <c r="E100" s="6"/>
    </row>
    <row r="101" spans="2:6" ht="18" customHeight="1" x14ac:dyDescent="0.25">
      <c r="B101" s="38" t="s">
        <v>112</v>
      </c>
      <c r="C101" s="38"/>
      <c r="D101" s="38"/>
      <c r="E101" s="6"/>
    </row>
  </sheetData>
  <mergeCells count="167">
    <mergeCell ref="B75:B83"/>
    <mergeCell ref="D88:E88"/>
    <mergeCell ref="D87:E87"/>
    <mergeCell ref="D86:E86"/>
    <mergeCell ref="C90:E90"/>
    <mergeCell ref="C45:E45"/>
    <mergeCell ref="D91:E91"/>
    <mergeCell ref="D48:E48"/>
    <mergeCell ref="D71:E71"/>
    <mergeCell ref="D77:E77"/>
    <mergeCell ref="G94:H94"/>
    <mergeCell ref="G64:H64"/>
    <mergeCell ref="G65:H65"/>
    <mergeCell ref="G70:H70"/>
    <mergeCell ref="G73:H73"/>
    <mergeCell ref="D57:E57"/>
    <mergeCell ref="D52:E52"/>
    <mergeCell ref="D51:E51"/>
    <mergeCell ref="G46:H46"/>
    <mergeCell ref="G57:H57"/>
    <mergeCell ref="G56:H56"/>
    <mergeCell ref="G54:H54"/>
    <mergeCell ref="G53:H53"/>
    <mergeCell ref="G52:H52"/>
    <mergeCell ref="G51:H51"/>
    <mergeCell ref="D82:E82"/>
    <mergeCell ref="D78:E78"/>
    <mergeCell ref="D81:E81"/>
    <mergeCell ref="D73:E73"/>
    <mergeCell ref="D56:E56"/>
    <mergeCell ref="D49:E49"/>
    <mergeCell ref="D50:E50"/>
    <mergeCell ref="D55:E55"/>
    <mergeCell ref="G49:H49"/>
    <mergeCell ref="G37:H37"/>
    <mergeCell ref="G38:H38"/>
    <mergeCell ref="G39:H39"/>
    <mergeCell ref="G40:H40"/>
    <mergeCell ref="G30:H30"/>
    <mergeCell ref="G31:H31"/>
    <mergeCell ref="G32:H32"/>
    <mergeCell ref="G33:H33"/>
    <mergeCell ref="D70:E70"/>
    <mergeCell ref="D69:E69"/>
    <mergeCell ref="D68:E68"/>
    <mergeCell ref="D65:E65"/>
    <mergeCell ref="D64:E64"/>
    <mergeCell ref="D62:E62"/>
    <mergeCell ref="G15:H15"/>
    <mergeCell ref="D30:E30"/>
    <mergeCell ref="D29:E29"/>
    <mergeCell ref="C8:E8"/>
    <mergeCell ref="C27:E27"/>
    <mergeCell ref="D39:E39"/>
    <mergeCell ref="D38:E38"/>
    <mergeCell ref="D37:E37"/>
    <mergeCell ref="D46:E46"/>
    <mergeCell ref="D40:E40"/>
    <mergeCell ref="D36:E36"/>
    <mergeCell ref="D33:E33"/>
    <mergeCell ref="D15:E15"/>
    <mergeCell ref="D11:E11"/>
    <mergeCell ref="G43:H43"/>
    <mergeCell ref="G14:H14"/>
    <mergeCell ref="G20:H20"/>
    <mergeCell ref="G24:H24"/>
    <mergeCell ref="D17:E17"/>
    <mergeCell ref="D18:E18"/>
    <mergeCell ref="D28:E28"/>
    <mergeCell ref="G41:H41"/>
    <mergeCell ref="G42:H42"/>
    <mergeCell ref="G35:H35"/>
    <mergeCell ref="B2:G2"/>
    <mergeCell ref="G27:H27"/>
    <mergeCell ref="G21:H21"/>
    <mergeCell ref="G22:H22"/>
    <mergeCell ref="G25:H25"/>
    <mergeCell ref="G8:H8"/>
    <mergeCell ref="G9:H9"/>
    <mergeCell ref="G10:H10"/>
    <mergeCell ref="G12:H12"/>
    <mergeCell ref="G18:H18"/>
    <mergeCell ref="B8:B25"/>
    <mergeCell ref="G19:H19"/>
    <mergeCell ref="G16:H16"/>
    <mergeCell ref="G23:H23"/>
    <mergeCell ref="B27:B33"/>
    <mergeCell ref="D9:E9"/>
    <mergeCell ref="D16:E16"/>
    <mergeCell ref="D20:E20"/>
    <mergeCell ref="D19:E19"/>
    <mergeCell ref="D21:E21"/>
    <mergeCell ref="D22:E22"/>
    <mergeCell ref="D32:E32"/>
    <mergeCell ref="D24:E24"/>
    <mergeCell ref="D23:E23"/>
    <mergeCell ref="G86:H86"/>
    <mergeCell ref="G87:H87"/>
    <mergeCell ref="G88:H88"/>
    <mergeCell ref="C61:E61"/>
    <mergeCell ref="C85:E85"/>
    <mergeCell ref="G50:H50"/>
    <mergeCell ref="D31:E31"/>
    <mergeCell ref="G67:H67"/>
    <mergeCell ref="D66:E66"/>
    <mergeCell ref="G45:H45"/>
    <mergeCell ref="G58:H58"/>
    <mergeCell ref="G59:H59"/>
    <mergeCell ref="C35:E35"/>
    <mergeCell ref="D41:E41"/>
    <mergeCell ref="D43:E43"/>
    <mergeCell ref="D53:E53"/>
    <mergeCell ref="D47:E47"/>
    <mergeCell ref="D59:E59"/>
    <mergeCell ref="D58:E58"/>
    <mergeCell ref="G47:H47"/>
    <mergeCell ref="G48:H48"/>
    <mergeCell ref="D72:E72"/>
    <mergeCell ref="D54:E54"/>
    <mergeCell ref="G36:H36"/>
    <mergeCell ref="G82:H82"/>
    <mergeCell ref="D63:E63"/>
    <mergeCell ref="G66:H66"/>
    <mergeCell ref="G63:H63"/>
    <mergeCell ref="G17:H17"/>
    <mergeCell ref="G55:H55"/>
    <mergeCell ref="G77:H77"/>
    <mergeCell ref="C75:E75"/>
    <mergeCell ref="G75:H75"/>
    <mergeCell ref="D76:E76"/>
    <mergeCell ref="G76:H76"/>
    <mergeCell ref="D79:E79"/>
    <mergeCell ref="G79:H79"/>
    <mergeCell ref="D80:E80"/>
    <mergeCell ref="G80:H80"/>
    <mergeCell ref="D14:E14"/>
    <mergeCell ref="D12:E12"/>
    <mergeCell ref="D10:E10"/>
    <mergeCell ref="D25:E25"/>
    <mergeCell ref="G11:H11"/>
    <mergeCell ref="D13:E13"/>
    <mergeCell ref="G13:H13"/>
    <mergeCell ref="G69:H69"/>
    <mergeCell ref="B35:B43"/>
    <mergeCell ref="G28:H28"/>
    <mergeCell ref="G29:H29"/>
    <mergeCell ref="B45:B59"/>
    <mergeCell ref="D42:E42"/>
    <mergeCell ref="D94:E94"/>
    <mergeCell ref="D93:E93"/>
    <mergeCell ref="D92:E92"/>
    <mergeCell ref="D67:E67"/>
    <mergeCell ref="G81:H81"/>
    <mergeCell ref="G78:H78"/>
    <mergeCell ref="D83:E83"/>
    <mergeCell ref="G83:H83"/>
    <mergeCell ref="B90:B94"/>
    <mergeCell ref="G92:H92"/>
    <mergeCell ref="G93:H93"/>
    <mergeCell ref="G91:H91"/>
    <mergeCell ref="B61:B73"/>
    <mergeCell ref="G61:H61"/>
    <mergeCell ref="B85:B88"/>
    <mergeCell ref="G85:H85"/>
    <mergeCell ref="G62:H62"/>
    <mergeCell ref="G68:H68"/>
    <mergeCell ref="G90:H90"/>
  </mergeCells>
  <pageMargins left="0.25" right="0.25" top="0.75" bottom="0.75" header="0.3" footer="0.3"/>
  <pageSetup paperSize="9" scale="1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K19"/>
  <sheetViews>
    <sheetView workbookViewId="0">
      <selection activeCell="O6" sqref="O6"/>
    </sheetView>
  </sheetViews>
  <sheetFormatPr baseColWidth="10" defaultColWidth="11.42578125" defaultRowHeight="15" x14ac:dyDescent="0.25"/>
  <sheetData>
    <row r="5" spans="2:11" ht="15.75" x14ac:dyDescent="0.25">
      <c r="D5" s="40"/>
      <c r="E5" s="40"/>
      <c r="F5" s="40"/>
      <c r="G5" s="40"/>
      <c r="H5" s="41">
        <v>1</v>
      </c>
      <c r="J5" s="42" t="s">
        <v>113</v>
      </c>
      <c r="K5" s="51" t="s">
        <v>121</v>
      </c>
    </row>
    <row r="6" spans="2:11" x14ac:dyDescent="0.25">
      <c r="D6" s="114">
        <v>0.2</v>
      </c>
      <c r="E6" s="114"/>
      <c r="F6" s="114"/>
      <c r="G6" s="40"/>
      <c r="H6" s="115">
        <f>+(D9+D14+D19)*H5</f>
        <v>1</v>
      </c>
      <c r="J6" s="117">
        <v>66</v>
      </c>
      <c r="K6" s="124">
        <v>22</v>
      </c>
    </row>
    <row r="7" spans="2:11" ht="19.5" customHeight="1" x14ac:dyDescent="0.25">
      <c r="B7" s="118" t="s">
        <v>120</v>
      </c>
      <c r="C7" s="118"/>
      <c r="D7" s="119">
        <f>(Hoja1!F11+Hoja1!F28+Hoja1!F29+Hoja1!F30+Hoja1!F31+Hoja1!F32+Hoja1!F33+Hoja1!F46+Hoja1!F47+Hoja1!F48+Hoja1!F49+Hoja1!F50+Hoja1!F51+Hoja1!F52+Hoja1!F53+Hoja1!F54+Hoja1!F55+Hoja1!F56+Hoja1!F57+Hoja1!F86+Hoja1!F87+Hoja1!F88)</f>
        <v>66</v>
      </c>
      <c r="E7" s="119">
        <v>66</v>
      </c>
      <c r="F7" s="120">
        <f>+D7/E7</f>
        <v>1</v>
      </c>
      <c r="G7" s="43"/>
      <c r="H7" s="115"/>
      <c r="J7" s="117"/>
      <c r="K7" s="125"/>
    </row>
    <row r="8" spans="2:11" ht="19.5" customHeight="1" x14ac:dyDescent="0.25">
      <c r="B8" s="118"/>
      <c r="C8" s="118"/>
      <c r="D8" s="119"/>
      <c r="E8" s="119"/>
      <c r="F8" s="120"/>
      <c r="G8" s="43"/>
      <c r="H8" s="115"/>
      <c r="J8" s="117"/>
      <c r="K8" s="125"/>
    </row>
    <row r="9" spans="2:11" ht="14.1" customHeight="1" x14ac:dyDescent="0.25">
      <c r="B9" s="118"/>
      <c r="C9" s="118"/>
      <c r="D9" s="120">
        <f>+F7*D6</f>
        <v>0.2</v>
      </c>
      <c r="E9" s="120"/>
      <c r="F9" s="120"/>
      <c r="G9" s="43"/>
      <c r="H9" s="115"/>
      <c r="J9" s="117"/>
      <c r="K9" s="126"/>
    </row>
    <row r="10" spans="2:11" x14ac:dyDescent="0.25">
      <c r="B10" s="44"/>
      <c r="C10" s="44"/>
      <c r="D10" s="45"/>
      <c r="E10" s="45"/>
      <c r="F10" s="45"/>
      <c r="G10" s="43"/>
      <c r="H10" s="115"/>
      <c r="J10" s="46"/>
    </row>
    <row r="11" spans="2:11" x14ac:dyDescent="0.25">
      <c r="D11" s="114">
        <v>0.35</v>
      </c>
      <c r="E11" s="114"/>
      <c r="F11" s="114"/>
      <c r="G11" s="40"/>
      <c r="H11" s="115"/>
      <c r="J11" s="117">
        <v>123</v>
      </c>
      <c r="K11" s="124">
        <v>41</v>
      </c>
    </row>
    <row r="12" spans="2:11" x14ac:dyDescent="0.25">
      <c r="B12" s="121" t="s">
        <v>114</v>
      </c>
      <c r="C12" s="121"/>
      <c r="D12" s="119">
        <f>(Hoja1!F9+Hoja1!F10+Hoja1!F12+Hoja1!F13+Hoja1!F14+Hoja1!F15+Hoja1!F16+Hoja1!F17+Hoja1!F18+Hoja1!F19+Hoja1!F20+Hoja1!F21+Hoja1!F22+Hoja1!F23+Hoja1!F24+Hoja1!F25+Hoja1!F36+Hoja1!F37+Hoja1!F38+Hoja1!F39+Hoja1!F40+Hoja1!F41+Hoja1!F42+Hoja1!F43+Hoja1!F58+Hoja1!F59+Hoja1!F62+Hoja1!F63+Hoja1!F64+Hoja1!F65+Hoja1!F66+Hoja1!F67+Hoja1!F68+Hoja1!F69+Hoja1!F70+Hoja1!F71+Hoja1!F72+Hoja1!F73+Hoja1!F76+Hoja1!F77+Hoja1!F78)</f>
        <v>123</v>
      </c>
      <c r="E12" s="119">
        <v>123</v>
      </c>
      <c r="F12" s="120">
        <f>+D12/E12</f>
        <v>1</v>
      </c>
      <c r="G12" s="43"/>
      <c r="H12" s="115"/>
      <c r="J12" s="117"/>
      <c r="K12" s="125"/>
    </row>
    <row r="13" spans="2:11" x14ac:dyDescent="0.25">
      <c r="B13" s="121"/>
      <c r="C13" s="121"/>
      <c r="D13" s="119"/>
      <c r="E13" s="119"/>
      <c r="F13" s="120"/>
      <c r="G13" s="43"/>
      <c r="H13" s="115"/>
      <c r="J13" s="117"/>
      <c r="K13" s="125"/>
    </row>
    <row r="14" spans="2:11" x14ac:dyDescent="0.25">
      <c r="B14" s="121"/>
      <c r="C14" s="121"/>
      <c r="D14" s="120">
        <f>+F12*D11</f>
        <v>0.35</v>
      </c>
      <c r="E14" s="120"/>
      <c r="F14" s="120"/>
      <c r="G14" s="43"/>
      <c r="H14" s="115"/>
      <c r="J14" s="117"/>
      <c r="K14" s="126"/>
    </row>
    <row r="15" spans="2:11" x14ac:dyDescent="0.25">
      <c r="B15" s="40"/>
      <c r="C15" s="40"/>
      <c r="D15" s="45"/>
      <c r="E15" s="45"/>
      <c r="F15" s="45"/>
      <c r="G15" s="43"/>
      <c r="H15" s="115"/>
      <c r="J15" s="46"/>
    </row>
    <row r="16" spans="2:11" x14ac:dyDescent="0.25">
      <c r="B16" s="40"/>
      <c r="C16" s="40"/>
      <c r="D16" s="114">
        <v>0.45</v>
      </c>
      <c r="E16" s="114"/>
      <c r="F16" s="114"/>
      <c r="G16" s="40"/>
      <c r="H16" s="115"/>
      <c r="J16" s="117">
        <v>27</v>
      </c>
      <c r="K16" s="124">
        <v>9</v>
      </c>
    </row>
    <row r="17" spans="2:11" x14ac:dyDescent="0.25">
      <c r="B17" s="121" t="s">
        <v>119</v>
      </c>
      <c r="C17" s="121"/>
      <c r="D17" s="119">
        <f>(Hoja1!F79+Hoja1!F80+Hoja1!F81+Hoja1!F82+Hoja1!F83+Hoja1!F91+Hoja1!F92+Hoja1!F93+Hoja1!F94)</f>
        <v>27</v>
      </c>
      <c r="E17" s="119">
        <v>27</v>
      </c>
      <c r="F17" s="120">
        <f>+D17/E17</f>
        <v>1</v>
      </c>
      <c r="G17" s="40"/>
      <c r="H17" s="115"/>
      <c r="J17" s="117"/>
      <c r="K17" s="125"/>
    </row>
    <row r="18" spans="2:11" x14ac:dyDescent="0.25">
      <c r="B18" s="121"/>
      <c r="C18" s="121"/>
      <c r="D18" s="119"/>
      <c r="E18" s="119"/>
      <c r="F18" s="120"/>
      <c r="G18" s="40"/>
      <c r="H18" s="115"/>
      <c r="J18" s="117"/>
      <c r="K18" s="125"/>
    </row>
    <row r="19" spans="2:11" x14ac:dyDescent="0.25">
      <c r="B19" s="121"/>
      <c r="C19" s="121"/>
      <c r="D19" s="120">
        <f>+F17*D16</f>
        <v>0.45</v>
      </c>
      <c r="E19" s="120"/>
      <c r="F19" s="120"/>
      <c r="G19" s="40"/>
      <c r="H19" s="116"/>
      <c r="J19" s="117"/>
      <c r="K19" s="126"/>
    </row>
  </sheetData>
  <mergeCells count="25">
    <mergeCell ref="K6:K9"/>
    <mergeCell ref="K11:K14"/>
    <mergeCell ref="K16:K19"/>
    <mergeCell ref="J16:J19"/>
    <mergeCell ref="B17:C19"/>
    <mergeCell ref="D17:D18"/>
    <mergeCell ref="E17:E18"/>
    <mergeCell ref="F17:F18"/>
    <mergeCell ref="D19:F19"/>
    <mergeCell ref="D6:F6"/>
    <mergeCell ref="H6:H19"/>
    <mergeCell ref="J6:J9"/>
    <mergeCell ref="B7:C9"/>
    <mergeCell ref="D7:D8"/>
    <mergeCell ref="E7:E8"/>
    <mergeCell ref="F7:F8"/>
    <mergeCell ref="D9:F9"/>
    <mergeCell ref="D11:F11"/>
    <mergeCell ref="J11:J14"/>
    <mergeCell ref="B12:C14"/>
    <mergeCell ref="D12:D13"/>
    <mergeCell ref="E12:E13"/>
    <mergeCell ref="F12:F13"/>
    <mergeCell ref="D14:F14"/>
    <mergeCell ref="D16:F16"/>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Yanina Vignolo</dc:creator>
  <cp:keywords/>
  <dc:description/>
  <cp:lastModifiedBy>Tomás Cosenza</cp:lastModifiedBy>
  <cp:revision/>
  <dcterms:created xsi:type="dcterms:W3CDTF">2017-01-13T21:51:08Z</dcterms:created>
  <dcterms:modified xsi:type="dcterms:W3CDTF">2026-07-09T13:23:33Z</dcterms:modified>
  <cp:category/>
  <cp:contentStatus/>
</cp:coreProperties>
</file>