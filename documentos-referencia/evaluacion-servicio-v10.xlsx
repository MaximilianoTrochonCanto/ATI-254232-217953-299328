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8f7cd484274ac18/Escritorio/PROYECTO ORT/PLANILLAS VACÍAS Y DOCUMENTOS/"/>
    </mc:Choice>
  </mc:AlternateContent>
  <bookViews>
    <workbookView xWindow="-105" yWindow="-105" windowWidth="19425" windowHeight="11505"/>
  </bookViews>
  <sheets>
    <sheet name="Hoja 1" sheetId="1" r:id="rId1"/>
    <sheet name="Hoja2" sheetId="2" r:id="rId2"/>
    <sheet name="Hoja3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3" i="1" l="1"/>
  <c r="J193" i="1"/>
  <c r="L193" i="1" s="1"/>
  <c r="J195" i="1" s="1"/>
  <c r="K188" i="1"/>
  <c r="J188" i="1"/>
  <c r="K183" i="1"/>
  <c r="J183" i="1"/>
  <c r="L183" i="1" s="1"/>
  <c r="J185" i="1" s="1"/>
  <c r="K178" i="1"/>
  <c r="J178" i="1"/>
  <c r="L178" i="1" s="1"/>
  <c r="J180" i="1" s="1"/>
  <c r="N177" i="1" l="1"/>
  <c r="L188" i="1"/>
  <c r="J190" i="1" s="1"/>
  <c r="K235" i="1"/>
  <c r="J235" i="1"/>
  <c r="K228" i="1"/>
  <c r="J228" i="1"/>
  <c r="L228" i="1" s="1"/>
  <c r="J230" i="1" s="1"/>
  <c r="K223" i="1"/>
  <c r="J223" i="1"/>
  <c r="L223" i="1" s="1"/>
  <c r="J225" i="1" s="1"/>
  <c r="K42" i="1"/>
  <c r="J42" i="1"/>
  <c r="K37" i="1"/>
  <c r="J37" i="1"/>
  <c r="K170" i="1"/>
  <c r="J170" i="1"/>
  <c r="K165" i="1"/>
  <c r="J165" i="1"/>
  <c r="K142" i="1"/>
  <c r="J142" i="1"/>
  <c r="K137" i="1"/>
  <c r="J137" i="1"/>
  <c r="K75" i="1"/>
  <c r="J75" i="1"/>
  <c r="K70" i="1"/>
  <c r="J70" i="1"/>
  <c r="K105" i="1"/>
  <c r="L235" i="1" l="1"/>
  <c r="J237" i="1" s="1"/>
  <c r="N234" i="1" s="1"/>
  <c r="L142" i="1"/>
  <c r="J144" i="1" s="1"/>
  <c r="L37" i="1"/>
  <c r="J39" i="1" s="1"/>
  <c r="L42" i="1"/>
  <c r="J44" i="1" s="1"/>
  <c r="L165" i="1"/>
  <c r="J167" i="1" s="1"/>
  <c r="L170" i="1"/>
  <c r="J172" i="1" s="1"/>
  <c r="L137" i="1"/>
  <c r="J139" i="1" s="1"/>
  <c r="L70" i="1"/>
  <c r="J72" i="1" s="1"/>
  <c r="L75" i="1"/>
  <c r="J77" i="1" s="1"/>
  <c r="K218" i="1"/>
  <c r="J218" i="1"/>
  <c r="L218" i="1" l="1"/>
  <c r="J220" i="1" s="1"/>
  <c r="K17" i="1"/>
  <c r="J17" i="1"/>
  <c r="L17" i="1" l="1"/>
  <c r="J19" i="1"/>
  <c r="K32" i="1"/>
  <c r="J32" i="1"/>
  <c r="K65" i="1"/>
  <c r="J65" i="1"/>
  <c r="L65" i="1" l="1"/>
  <c r="J67" i="1" s="1"/>
  <c r="L32" i="1"/>
  <c r="J34" i="1" s="1"/>
  <c r="K98" i="1"/>
  <c r="J98" i="1"/>
  <c r="K88" i="1"/>
  <c r="J88" i="1"/>
  <c r="L98" i="1" l="1"/>
  <c r="J100" i="1" s="1"/>
  <c r="L88" i="1"/>
  <c r="J90" i="1" s="1"/>
  <c r="K213" i="1" l="1"/>
  <c r="J213" i="1"/>
  <c r="K208" i="1"/>
  <c r="J208" i="1"/>
  <c r="L213" i="1" l="1"/>
  <c r="J215" i="1" s="1"/>
  <c r="L208" i="1"/>
  <c r="J210" i="1" s="1"/>
  <c r="K201" i="1"/>
  <c r="J201" i="1"/>
  <c r="J160" i="1"/>
  <c r="K155" i="1"/>
  <c r="J155" i="1"/>
  <c r="K127" i="1"/>
  <c r="J127" i="1"/>
  <c r="K122" i="1"/>
  <c r="J122" i="1"/>
  <c r="J117" i="1"/>
  <c r="J105" i="1"/>
  <c r="K93" i="1"/>
  <c r="J93" i="1"/>
  <c r="K83" i="1"/>
  <c r="J83" i="1"/>
  <c r="K60" i="1"/>
  <c r="J60" i="1"/>
  <c r="K55" i="1"/>
  <c r="J55" i="1"/>
  <c r="J27" i="1"/>
  <c r="J22" i="1"/>
  <c r="K12" i="1"/>
  <c r="J12" i="1"/>
  <c r="J132" i="1"/>
  <c r="K132" i="1"/>
  <c r="K160" i="1"/>
  <c r="K150" i="1"/>
  <c r="J150" i="1"/>
  <c r="K117" i="1"/>
  <c r="K110" i="1"/>
  <c r="J110" i="1"/>
  <c r="K50" i="1"/>
  <c r="J50" i="1"/>
  <c r="K27" i="1"/>
  <c r="K22" i="1"/>
  <c r="N207" i="1" l="1"/>
  <c r="L93" i="1"/>
  <c r="J95" i="1" s="1"/>
  <c r="L122" i="1"/>
  <c r="J124" i="1" s="1"/>
  <c r="L155" i="1"/>
  <c r="J157" i="1" s="1"/>
  <c r="L83" i="1"/>
  <c r="J85" i="1" s="1"/>
  <c r="N82" i="1" s="1"/>
  <c r="L132" i="1"/>
  <c r="J134" i="1" s="1"/>
  <c r="L27" i="1"/>
  <c r="J29" i="1" s="1"/>
  <c r="L50" i="1"/>
  <c r="J52" i="1" s="1"/>
  <c r="L160" i="1"/>
  <c r="J162" i="1" s="1"/>
  <c r="L117" i="1"/>
  <c r="J119" i="1" s="1"/>
  <c r="L127" i="1"/>
  <c r="J129" i="1" s="1"/>
  <c r="L150" i="1"/>
  <c r="J152" i="1" s="1"/>
  <c r="N149" i="1" s="1"/>
  <c r="L60" i="1"/>
  <c r="J62" i="1" s="1"/>
  <c r="L55" i="1"/>
  <c r="J57" i="1" s="1"/>
  <c r="L22" i="1"/>
  <c r="J24" i="1" s="1"/>
  <c r="L110" i="1"/>
  <c r="J112" i="1" s="1"/>
  <c r="L12" i="1"/>
  <c r="J14" i="1" s="1"/>
  <c r="L105" i="1"/>
  <c r="J107" i="1" s="1"/>
  <c r="L201" i="1"/>
  <c r="J203" i="1" s="1"/>
  <c r="N200" i="1" s="1"/>
  <c r="N49" i="1" l="1"/>
  <c r="N9" i="1"/>
  <c r="N239" i="1" s="1"/>
  <c r="N116" i="1"/>
  <c r="N104" i="1"/>
</calcChain>
</file>

<file path=xl/sharedStrings.xml><?xml version="1.0" encoding="utf-8"?>
<sst xmlns="http://schemas.openxmlformats.org/spreadsheetml/2006/main" count="152" uniqueCount="61">
  <si>
    <t>EVALUACIÓN DEL SERVICIO DE ALIMENTACIÓN</t>
  </si>
  <si>
    <t>PERÍODO DE EVALUACIÓN:</t>
  </si>
  <si>
    <t>SEGURIDAD ALIMENTARIA</t>
  </si>
  <si>
    <t>LIMPIEZA</t>
  </si>
  <si>
    <t>MUESTRAS</t>
  </si>
  <si>
    <t>Bioluminiscencia</t>
  </si>
  <si>
    <t>Microbiológicos superficie</t>
  </si>
  <si>
    <t>VALOR ÚLTIMA AUDITORÍA</t>
  </si>
  <si>
    <t>Auditoría POES</t>
  </si>
  <si>
    <t xml:space="preserve">VALORES OBTENIDOS </t>
  </si>
  <si>
    <t>Higiene en general</t>
  </si>
  <si>
    <t>RECLAMOS-DESVIACIONES</t>
  </si>
  <si>
    <t>Reclamos</t>
  </si>
  <si>
    <t>OBSERVACIÓN</t>
  </si>
  <si>
    <t>INFORMES</t>
  </si>
  <si>
    <t>-</t>
  </si>
  <si>
    <t>NO CONFORMIDAD</t>
  </si>
  <si>
    <t>INOCUIDAD-BPM</t>
  </si>
  <si>
    <t>Auditoría HACCP</t>
  </si>
  <si>
    <t>CÁMARAS</t>
  </si>
  <si>
    <r>
      <t>SECOS</t>
    </r>
    <r>
      <rPr>
        <sz val="8"/>
        <color rgb="FF000000"/>
        <rFont val="ADLaM Display"/>
      </rPr>
      <t xml:space="preserve"> (U/A)</t>
    </r>
  </si>
  <si>
    <t>Auditoría Cámaras y Secos</t>
  </si>
  <si>
    <t>Cumplimiento BPM</t>
  </si>
  <si>
    <t>OBSERVACIONES</t>
  </si>
  <si>
    <t>Informes de Observación</t>
  </si>
  <si>
    <t>Respuesta a Informes de Observación</t>
  </si>
  <si>
    <t>NO CONFORMIDADES</t>
  </si>
  <si>
    <t>Informes de No Conformidad</t>
  </si>
  <si>
    <t>Respuesta a Informes de No Conformidad</t>
  </si>
  <si>
    <t>DOCUMENTACIÓN/CAPACITACIONES/CHARLAS OPERATIVAS</t>
  </si>
  <si>
    <t>CAPACITACIONES</t>
  </si>
  <si>
    <t>CHARLAS OPERATIVAS</t>
  </si>
  <si>
    <t>Capacitaciones/Charlas operativas</t>
  </si>
  <si>
    <t xml:space="preserve">DOCUMENTACIÓN </t>
  </si>
  <si>
    <t>Documentación</t>
  </si>
  <si>
    <t>SERVICIO DE COMEDOR</t>
  </si>
  <si>
    <t>CUMPLIMIENTO MENÚ COMEDOR</t>
  </si>
  <si>
    <t>Cumplimiento de menú</t>
  </si>
  <si>
    <t>SERVICIO COMEDOR</t>
  </si>
  <si>
    <t>Servicio en general</t>
  </si>
  <si>
    <t>PLAN DE CONTINGENCIA</t>
  </si>
  <si>
    <t>Plan de Contingencia</t>
  </si>
  <si>
    <t>RECLAMOS COMEDOR</t>
  </si>
  <si>
    <t>SERVICIO DE VIANDAS Y REFRIGERIOS</t>
  </si>
  <si>
    <t>CUMPLIMIENTO MENÚ VIANDAS</t>
  </si>
  <si>
    <t>SERVICIO VIANDAS</t>
  </si>
  <si>
    <t>RECLAMOS VIANDAS</t>
  </si>
  <si>
    <t>SYSO</t>
  </si>
  <si>
    <t>ACCIDENTES OCURRIDOS</t>
  </si>
  <si>
    <t>Accidentes de trabajo</t>
  </si>
  <si>
    <t xml:space="preserve">EVALUACIÓN DE TAREAS DE SEGURIDAD </t>
  </si>
  <si>
    <t>EVALUACIÓN DE TAREA</t>
  </si>
  <si>
    <t>RECLAMOS SYSO</t>
  </si>
  <si>
    <t>PLAZOS DE CUMPLIMIENTO</t>
  </si>
  <si>
    <t>INCUMPLIMIENTO EN LA ENTREGA DE DOCUMENTACIÓN</t>
  </si>
  <si>
    <t>ENTREGA DE DOCUMENTACIÓN EN GENERAL</t>
  </si>
  <si>
    <t>PUNTUACIÓN PERÍODO</t>
  </si>
  <si>
    <t>Escala según HES</t>
  </si>
  <si>
    <t>EVALUACIÓN GENERAL TURNO NOCHE</t>
  </si>
  <si>
    <t>EVALUACIÓN TURNO NOCHE</t>
  </si>
  <si>
    <t>ESA V10                                             JULIO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</si>
</sst>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>
    <font>
      <sz val="11"/>
      <color theme="1"/>
      <name val="Calibri"/>
      <family val="2"/>
      <scheme val="minor"/>
    </font>
    <font>
      <sz val="10"/>
      <color rgb="FF000000"/>
      <name val="ADLaM Display"/>
    </font>
    <font>
      <sz val="8"/>
      <color rgb="FF000000"/>
      <name val="ADLaM Display"/>
    </font>
    <font>
      <sz val="11"/>
      <color rgb="FF000000"/>
      <name val="ADLaM Display"/>
    </font>
    <font>
      <b/>
      <sz val="14"/>
      <color rgb="FF000000"/>
      <name val="ADLaM Display"/>
    </font>
    <font>
      <b/>
      <sz val="11"/>
      <color rgb="FF000000"/>
      <name val="ADLaM Display"/>
    </font>
    <font>
      <b/>
      <sz val="12"/>
      <color rgb="FF000000"/>
      <name val="ADLaM Display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4" borderId="7" xfId="0" applyFont="1" applyFill="1" applyBorder="1" applyAlignment="1" applyProtection="1">
      <alignment horizontal="center" vertical="center"/>
      <protection locked="0"/>
    </xf>
    <xf numFmtId="0" fontId="3" fillId="4" borderId="8" xfId="0" applyFont="1" applyFill="1" applyBorder="1" applyAlignment="1" applyProtection="1">
      <alignment horizontal="center" vertical="center"/>
      <protection locked="0"/>
    </xf>
    <xf numFmtId="0" fontId="3" fillId="4" borderId="7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7" fontId="5" fillId="0" borderId="1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3" fillId="0" borderId="0" xfId="0" applyFont="1"/>
    <xf numFmtId="9" fontId="6" fillId="3" borderId="5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9" fontId="3" fillId="0" borderId="0" xfId="0" applyNumberFormat="1" applyFont="1"/>
    <xf numFmtId="0" fontId="3" fillId="2" borderId="14" xfId="0" applyFont="1" applyFill="1" applyBorder="1" applyAlignment="1">
      <alignment horizontal="center"/>
    </xf>
    <xf numFmtId="164" fontId="6" fillId="3" borderId="5" xfId="0" applyNumberFormat="1" applyFont="1" applyFill="1" applyBorder="1" applyAlignment="1">
      <alignment horizontal="center" vertical="center"/>
    </xf>
    <xf numFmtId="9" fontId="3" fillId="0" borderId="0" xfId="0" applyNumberFormat="1" applyFont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64" fontId="3" fillId="0" borderId="0" xfId="0" applyNumberFormat="1" applyFont="1" applyAlignment="1">
      <alignment horizontal="center"/>
    </xf>
    <xf numFmtId="0" fontId="3" fillId="4" borderId="5" xfId="0" applyFont="1" applyFill="1" applyBorder="1" applyAlignment="1" applyProtection="1">
      <alignment horizontal="center" vertical="center"/>
      <protection locked="0"/>
    </xf>
    <xf numFmtId="164" fontId="3" fillId="0" borderId="0" xfId="0" applyNumberFormat="1" applyFont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vertical="center"/>
    </xf>
    <xf numFmtId="164" fontId="4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4" borderId="8" xfId="0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164" fontId="6" fillId="3" borderId="6" xfId="0" applyNumberFormat="1" applyFont="1" applyFill="1" applyBorder="1" applyAlignment="1">
      <alignment horizontal="center" vertical="center"/>
    </xf>
    <xf numFmtId="164" fontId="6" fillId="3" borderId="9" xfId="0" applyNumberFormat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164" fontId="3" fillId="3" borderId="5" xfId="0" applyNumberFormat="1" applyFont="1" applyFill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164" fontId="4" fillId="0" borderId="10" xfId="0" applyNumberFormat="1" applyFont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64" fontId="6" fillId="3" borderId="5" xfId="0" applyNumberFormat="1" applyFont="1" applyFill="1" applyBorder="1" applyAlignment="1">
      <alignment horizontal="center" vertical="center"/>
    </xf>
    <xf numFmtId="164" fontId="4" fillId="0" borderId="12" xfId="0" applyNumberFormat="1" applyFont="1" applyBorder="1" applyAlignment="1">
      <alignment horizontal="center" vertical="center"/>
    </xf>
    <xf numFmtId="164" fontId="4" fillId="0" borderId="13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64" fontId="4" fillId="0" borderId="5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4" borderId="7" xfId="0" applyFont="1" applyFill="1" applyBorder="1" applyAlignment="1" applyProtection="1">
      <alignment horizontal="center" vertical="center"/>
      <protection locked="0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3" fillId="4" borderId="8" xfId="0" applyFont="1" applyFill="1" applyBorder="1" applyAlignment="1" applyProtection="1">
      <alignment horizontal="center" vertical="center"/>
      <protection locked="0"/>
    </xf>
    <xf numFmtId="0" fontId="3" fillId="3" borderId="5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3" fillId="4" borderId="5" xfId="0" applyFont="1" applyFill="1" applyBorder="1" applyAlignment="1" applyProtection="1">
      <alignment horizontal="center"/>
      <protection locked="0"/>
    </xf>
    <xf numFmtId="0" fontId="1" fillId="3" borderId="7" xfId="0" applyFont="1" applyFill="1" applyBorder="1" applyAlignment="1">
      <alignment horizontal="center" wrapText="1"/>
    </xf>
    <xf numFmtId="0" fontId="1" fillId="3" borderId="8" xfId="0" applyFont="1" applyFill="1" applyBorder="1" applyAlignment="1">
      <alignment horizontal="center" wrapText="1"/>
    </xf>
    <xf numFmtId="0" fontId="3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7" fontId="5" fillId="2" borderId="1" xfId="0" applyNumberFormat="1" applyFont="1" applyFill="1" applyBorder="1" applyAlignment="1">
      <alignment horizontal="center" vertical="center" wrapText="1"/>
    </xf>
    <xf numFmtId="17" fontId="5" fillId="2" borderId="3" xfId="0" applyNumberFormat="1" applyFont="1" applyFill="1" applyBorder="1" applyAlignment="1">
      <alignment horizontal="center" vertical="center" wrapText="1"/>
    </xf>
    <xf numFmtId="17" fontId="5" fillId="2" borderId="4" xfId="0" applyNumberFormat="1" applyFont="1" applyFill="1" applyBorder="1" applyAlignment="1">
      <alignment horizontal="center" vertical="center" wrapText="1"/>
    </xf>
    <xf numFmtId="17" fontId="6" fillId="4" borderId="0" xfId="0" applyNumberFormat="1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4" borderId="15" xfId="0" applyFont="1" applyFill="1" applyBorder="1" applyAlignment="1" applyProtection="1">
      <alignment horizontal="center" vertical="center"/>
      <protection locked="0"/>
    </xf>
    <xf numFmtId="0" fontId="3" fillId="4" borderId="16" xfId="0" applyFont="1" applyFill="1" applyBorder="1" applyAlignment="1" applyProtection="1">
      <alignment horizontal="center" vertical="center"/>
      <protection locked="0"/>
    </xf>
    <xf numFmtId="0" fontId="3" fillId="4" borderId="17" xfId="0" applyFont="1" applyFill="1" applyBorder="1" applyAlignment="1" applyProtection="1">
      <alignment horizontal="center" vertical="center"/>
      <protection locked="0"/>
    </xf>
    <xf numFmtId="0" fontId="3" fillId="4" borderId="2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3" fillId="4" borderId="16" xfId="0" applyFont="1" applyFill="1" applyBorder="1" applyAlignment="1">
      <alignment horizontal="center"/>
    </xf>
    <xf numFmtId="0" fontId="3" fillId="4" borderId="17" xfId="0" applyFont="1" applyFill="1" applyBorder="1" applyAlignment="1">
      <alignment horizontal="center"/>
    </xf>
    <xf numFmtId="0" fontId="3" fillId="4" borderId="21" xfId="0" applyFont="1" applyFill="1" applyBorder="1" applyAlignment="1">
      <alignment horizontal="center"/>
    </xf>
    <xf numFmtId="0" fontId="3" fillId="4" borderId="22" xfId="0" applyFont="1" applyFill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15" xfId="0" applyFont="1" applyFill="1" applyBorder="1" applyAlignment="1" applyProtection="1">
      <alignment horizontal="center"/>
      <protection locked="0"/>
    </xf>
    <xf numFmtId="0" fontId="3" fillId="4" borderId="16" xfId="0" applyFont="1" applyFill="1" applyBorder="1" applyAlignment="1" applyProtection="1">
      <alignment horizontal="center"/>
      <protection locked="0"/>
    </xf>
    <xf numFmtId="0" fontId="3" fillId="4" borderId="17" xfId="0" applyFont="1" applyFill="1" applyBorder="1" applyAlignment="1" applyProtection="1">
      <alignment horizontal="center"/>
      <protection locked="0"/>
    </xf>
    <xf numFmtId="0" fontId="3" fillId="4" borderId="21" xfId="0" applyFont="1" applyFill="1" applyBorder="1" applyAlignment="1" applyProtection="1">
      <alignment horizontal="center"/>
      <protection locked="0"/>
    </xf>
    <xf numFmtId="0" fontId="3" fillId="4" borderId="22" xfId="0" applyFont="1" applyFill="1" applyBorder="1" applyAlignment="1" applyProtection="1">
      <alignment horizontal="center"/>
      <protection locked="0"/>
    </xf>
    <xf numFmtId="0" fontId="3" fillId="4" borderId="7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3" fillId="0" borderId="0" xfId="0" applyNumberFormat="1" applyFont="1" applyBorder="1" applyAlignment="1">
      <alignment horizontal="center" vertical="center"/>
    </xf>
    <xf numFmtId="164" fontId="4" fillId="0" borderId="0" xfId="0" applyNumberFormat="1" applyFont="1" applyBorder="1" applyAlignment="1">
      <alignment horizontal="center" vertical="center"/>
    </xf>
    <xf numFmtId="9" fontId="3" fillId="3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8FA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T246"/>
  <sheetViews>
    <sheetView tabSelected="1" zoomScale="70" zoomScaleNormal="70" workbookViewId="0">
      <selection activeCell="R8" sqref="R8"/>
    </sheetView>
  </sheetViews>
  <sheetFormatPr baseColWidth="10" defaultColWidth="11.42578125" defaultRowHeight="14.25"/>
  <cols>
    <col min="1" max="1" width="3.140625" style="12" customWidth="1"/>
    <col min="2" max="2" width="34.7109375" style="12" customWidth="1"/>
    <col min="3" max="3" width="11" style="12" customWidth="1"/>
    <col min="4" max="4" width="10.28515625" style="12" customWidth="1"/>
    <col min="5" max="8" width="9.5703125" style="12" customWidth="1"/>
    <col min="9" max="9" width="3.140625" style="12" customWidth="1"/>
    <col min="10" max="12" width="9.28515625" style="12" customWidth="1"/>
    <col min="13" max="13" width="3.42578125" style="12" customWidth="1"/>
    <col min="14" max="14" width="13.85546875" style="12" customWidth="1"/>
    <col min="15" max="16" width="7.28515625" style="12" customWidth="1"/>
    <col min="17" max="17" width="17.85546875" style="14" customWidth="1"/>
    <col min="18" max="16384" width="11.42578125" style="12"/>
  </cols>
  <sheetData>
    <row r="2" spans="2:20" s="6" customFormat="1" ht="35.25" customHeight="1" thickBot="1">
      <c r="B2" s="70" t="s">
        <v>0</v>
      </c>
      <c r="C2" s="71"/>
      <c r="D2" s="71"/>
      <c r="E2" s="71"/>
      <c r="F2" s="71"/>
      <c r="G2" s="71"/>
      <c r="H2" s="71"/>
      <c r="I2" s="71"/>
      <c r="J2" s="71"/>
      <c r="K2" s="72"/>
      <c r="L2" s="73" t="s">
        <v>60</v>
      </c>
      <c r="M2" s="74"/>
      <c r="N2" s="75"/>
      <c r="Q2" s="7"/>
    </row>
    <row r="3" spans="2:20" s="6" customFormat="1" ht="9.75" customHeight="1">
      <c r="B3" s="8"/>
      <c r="C3" s="9"/>
      <c r="D3" s="9"/>
      <c r="E3" s="9"/>
      <c r="F3" s="9"/>
      <c r="G3" s="9"/>
      <c r="H3" s="9"/>
      <c r="I3" s="9"/>
      <c r="J3" s="9"/>
      <c r="K3" s="9"/>
      <c r="L3" s="10"/>
      <c r="M3" s="10"/>
      <c r="N3" s="10"/>
      <c r="Q3" s="7"/>
    </row>
    <row r="4" spans="2:20" s="6" customFormat="1" ht="27" customHeight="1">
      <c r="B4" s="8" t="s">
        <v>1</v>
      </c>
      <c r="C4" s="76"/>
      <c r="D4" s="77"/>
      <c r="E4" s="77"/>
      <c r="F4" s="77"/>
      <c r="G4" s="77"/>
      <c r="H4" s="11"/>
      <c r="I4" s="11"/>
      <c r="J4" s="11"/>
      <c r="K4" s="11"/>
      <c r="L4" s="11"/>
      <c r="M4" s="11"/>
      <c r="N4" s="11"/>
      <c r="Q4" s="7"/>
    </row>
    <row r="6" spans="2:20" ht="15.75">
      <c r="B6" s="90" t="s">
        <v>2</v>
      </c>
      <c r="C6" s="91"/>
      <c r="D6" s="91"/>
      <c r="E6" s="91"/>
      <c r="F6" s="91"/>
      <c r="G6" s="91"/>
      <c r="H6" s="91"/>
      <c r="I6" s="91"/>
      <c r="J6" s="91"/>
      <c r="K6" s="91"/>
      <c r="L6" s="92"/>
      <c r="N6" s="13">
        <v>0.4</v>
      </c>
    </row>
    <row r="7" spans="2:20" ht="15"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N7" s="16"/>
    </row>
    <row r="8" spans="2:20" ht="15.75">
      <c r="B8" s="17" t="s">
        <v>3</v>
      </c>
      <c r="N8" s="18">
        <v>0.15</v>
      </c>
    </row>
    <row r="9" spans="2:20" ht="15" customHeight="1">
      <c r="B9" s="14"/>
      <c r="N9" s="44">
        <f>+(J14+J24+J19+J29-J34-J39-J44)*N8</f>
        <v>0</v>
      </c>
    </row>
    <row r="10" spans="2:20" ht="15" customHeight="1">
      <c r="C10" s="60" t="s">
        <v>4</v>
      </c>
      <c r="D10" s="61"/>
      <c r="E10" s="61"/>
      <c r="F10" s="61"/>
      <c r="G10" s="61"/>
      <c r="H10" s="62"/>
      <c r="J10" s="43">
        <v>0.25</v>
      </c>
      <c r="K10" s="43"/>
      <c r="L10" s="43"/>
      <c r="N10" s="45"/>
      <c r="Q10" s="16"/>
      <c r="R10" s="16"/>
      <c r="S10" s="16"/>
      <c r="T10" s="16"/>
    </row>
    <row r="11" spans="2:20" ht="15" customHeight="1">
      <c r="B11" s="48" t="s">
        <v>5</v>
      </c>
      <c r="C11" s="21">
        <v>1</v>
      </c>
      <c r="D11" s="22">
        <v>2</v>
      </c>
      <c r="E11" s="22">
        <v>3</v>
      </c>
      <c r="F11" s="22">
        <v>4</v>
      </c>
      <c r="G11" s="22">
        <v>5</v>
      </c>
      <c r="H11" s="22">
        <v>6</v>
      </c>
      <c r="J11" s="43"/>
      <c r="K11" s="43"/>
      <c r="L11" s="43"/>
      <c r="M11" s="14"/>
      <c r="N11" s="45"/>
      <c r="O11" s="14"/>
      <c r="P11" s="14"/>
      <c r="Q11" s="16"/>
      <c r="R11" s="16"/>
      <c r="S11" s="16"/>
      <c r="T11" s="16"/>
    </row>
    <row r="12" spans="2:20" ht="15" customHeight="1">
      <c r="B12" s="48"/>
      <c r="C12" s="2">
        <v>1</v>
      </c>
      <c r="D12" s="20">
        <v>1</v>
      </c>
      <c r="E12" s="20">
        <v>1</v>
      </c>
      <c r="F12" s="20">
        <v>1</v>
      </c>
      <c r="G12" s="20">
        <v>1</v>
      </c>
      <c r="H12" s="20">
        <v>1</v>
      </c>
      <c r="J12" s="48">
        <f>SUM(C13:H13)</f>
        <v>0</v>
      </c>
      <c r="K12" s="48">
        <f>SUM(C12:H12)</f>
        <v>6</v>
      </c>
      <c r="L12" s="49">
        <f>+J12/K12</f>
        <v>0</v>
      </c>
      <c r="M12" s="23"/>
      <c r="N12" s="45"/>
      <c r="O12" s="23"/>
      <c r="P12" s="23"/>
      <c r="Q12" s="16"/>
      <c r="R12" s="16"/>
      <c r="S12" s="16"/>
      <c r="T12" s="16"/>
    </row>
    <row r="13" spans="2:20" ht="15" customHeight="1">
      <c r="B13" s="48"/>
      <c r="C13" s="4"/>
      <c r="D13" s="24"/>
      <c r="E13" s="24"/>
      <c r="F13" s="24"/>
      <c r="G13" s="24"/>
      <c r="H13" s="24"/>
      <c r="J13" s="48"/>
      <c r="K13" s="48"/>
      <c r="L13" s="49"/>
      <c r="M13" s="23"/>
      <c r="N13" s="45"/>
      <c r="O13" s="23"/>
      <c r="P13" s="23"/>
      <c r="Q13" s="16"/>
      <c r="R13" s="16"/>
      <c r="S13" s="16"/>
      <c r="T13" s="16"/>
    </row>
    <row r="14" spans="2:20" ht="15" customHeight="1">
      <c r="B14" s="7"/>
      <c r="C14" s="7"/>
      <c r="D14" s="7"/>
      <c r="E14" s="7"/>
      <c r="F14" s="7"/>
      <c r="G14" s="7"/>
      <c r="H14" s="7"/>
      <c r="J14" s="49">
        <f>+L12*J10</f>
        <v>0</v>
      </c>
      <c r="K14" s="49"/>
      <c r="L14" s="49"/>
      <c r="M14" s="23"/>
      <c r="N14" s="45"/>
      <c r="O14" s="23"/>
      <c r="P14" s="23"/>
    </row>
    <row r="15" spans="2:20" ht="3.6" customHeight="1">
      <c r="B15" s="7"/>
      <c r="C15" s="7"/>
      <c r="D15" s="7"/>
      <c r="E15" s="7"/>
      <c r="F15" s="7"/>
      <c r="G15" s="7"/>
      <c r="H15" s="7"/>
      <c r="J15" s="25"/>
      <c r="K15" s="25"/>
      <c r="L15" s="25"/>
      <c r="M15" s="23"/>
      <c r="N15" s="45"/>
      <c r="O15" s="23"/>
      <c r="P15" s="23"/>
    </row>
    <row r="16" spans="2:20" ht="15" customHeight="1">
      <c r="C16" s="60" t="s">
        <v>4</v>
      </c>
      <c r="D16" s="61"/>
      <c r="E16" s="61"/>
      <c r="F16" s="61"/>
      <c r="G16" s="61"/>
      <c r="H16" s="62"/>
      <c r="J16" s="43">
        <v>0.25</v>
      </c>
      <c r="K16" s="43"/>
      <c r="L16" s="43"/>
      <c r="M16" s="23"/>
      <c r="N16" s="45"/>
      <c r="O16" s="23"/>
      <c r="P16" s="23"/>
    </row>
    <row r="17" spans="2:17" ht="15" customHeight="1">
      <c r="B17" s="48" t="s">
        <v>6</v>
      </c>
      <c r="C17" s="81">
        <v>1</v>
      </c>
      <c r="D17" s="82"/>
      <c r="E17" s="83"/>
      <c r="F17" s="55">
        <v>1</v>
      </c>
      <c r="G17" s="84"/>
      <c r="H17" s="63"/>
      <c r="J17" s="48">
        <f>SUM(C18:H18)</f>
        <v>0</v>
      </c>
      <c r="K17" s="48">
        <f>SUM(C17:H17)</f>
        <v>2</v>
      </c>
      <c r="L17" s="49">
        <f>+J17/K17</f>
        <v>0</v>
      </c>
      <c r="M17" s="23"/>
      <c r="N17" s="45"/>
      <c r="O17" s="23"/>
      <c r="P17" s="23"/>
    </row>
    <row r="18" spans="2:17" ht="15" customHeight="1">
      <c r="B18" s="55"/>
      <c r="C18" s="85"/>
      <c r="D18" s="86"/>
      <c r="E18" s="87"/>
      <c r="F18" s="88"/>
      <c r="G18" s="88"/>
      <c r="H18" s="89"/>
      <c r="J18" s="48"/>
      <c r="K18" s="48"/>
      <c r="L18" s="49"/>
      <c r="M18" s="23"/>
      <c r="N18" s="45"/>
      <c r="O18" s="23"/>
      <c r="P18" s="23"/>
    </row>
    <row r="19" spans="2:17" ht="15" customHeight="1">
      <c r="B19" s="7"/>
      <c r="C19" s="7"/>
      <c r="D19" s="7"/>
      <c r="E19" s="7"/>
      <c r="F19" s="7"/>
      <c r="G19" s="7"/>
      <c r="H19" s="7"/>
      <c r="J19" s="49">
        <f>+L17*J16</f>
        <v>0</v>
      </c>
      <c r="K19" s="49"/>
      <c r="L19" s="49"/>
      <c r="M19" s="23"/>
      <c r="N19" s="45"/>
      <c r="O19" s="23"/>
      <c r="P19" s="23"/>
    </row>
    <row r="20" spans="2:17" ht="3.6" customHeight="1">
      <c r="B20" s="7"/>
      <c r="J20" s="7"/>
      <c r="K20" s="7"/>
      <c r="L20" s="23"/>
      <c r="M20" s="23"/>
      <c r="N20" s="45"/>
      <c r="O20" s="23"/>
      <c r="P20" s="23"/>
    </row>
    <row r="21" spans="2:17" ht="15" customHeight="1">
      <c r="C21" s="80" t="s">
        <v>7</v>
      </c>
      <c r="D21" s="80"/>
      <c r="E21" s="80"/>
      <c r="F21" s="80"/>
      <c r="G21" s="80"/>
      <c r="H21" s="80"/>
      <c r="J21" s="43">
        <v>0.25</v>
      </c>
      <c r="K21" s="43"/>
      <c r="L21" s="43"/>
      <c r="N21" s="45"/>
    </row>
    <row r="22" spans="2:17" ht="15" customHeight="1">
      <c r="B22" s="48" t="s">
        <v>8</v>
      </c>
      <c r="C22" s="79">
        <v>1</v>
      </c>
      <c r="D22" s="79"/>
      <c r="E22" s="79"/>
      <c r="F22" s="79"/>
      <c r="G22" s="79"/>
      <c r="H22" s="79"/>
      <c r="J22" s="48">
        <f>+C23</f>
        <v>0</v>
      </c>
      <c r="K22" s="48">
        <f>+C22</f>
        <v>1</v>
      </c>
      <c r="L22" s="49">
        <f>+J22/K22</f>
        <v>0</v>
      </c>
      <c r="N22" s="45"/>
    </row>
    <row r="23" spans="2:17" ht="15" customHeight="1">
      <c r="B23" s="48"/>
      <c r="C23" s="64"/>
      <c r="D23" s="64"/>
      <c r="E23" s="64"/>
      <c r="F23" s="64"/>
      <c r="G23" s="64"/>
      <c r="H23" s="64"/>
      <c r="J23" s="48"/>
      <c r="K23" s="48"/>
      <c r="L23" s="49"/>
      <c r="N23" s="45"/>
    </row>
    <row r="24" spans="2:17" ht="15" customHeight="1">
      <c r="B24" s="14"/>
      <c r="C24" s="14"/>
      <c r="D24" s="14"/>
      <c r="E24" s="14"/>
      <c r="F24" s="14"/>
      <c r="G24" s="14"/>
      <c r="H24" s="14"/>
      <c r="J24" s="49">
        <f>+L22*J21</f>
        <v>0</v>
      </c>
      <c r="K24" s="49"/>
      <c r="L24" s="49"/>
      <c r="N24" s="45"/>
    </row>
    <row r="25" spans="2:17" ht="3.6" customHeight="1">
      <c r="B25" s="14"/>
      <c r="C25" s="14"/>
      <c r="D25" s="14"/>
      <c r="E25" s="14"/>
      <c r="F25" s="14"/>
      <c r="G25" s="14"/>
      <c r="H25" s="14"/>
      <c r="N25" s="45"/>
    </row>
    <row r="26" spans="2:17" ht="15" customHeight="1">
      <c r="C26" s="78" t="s">
        <v>9</v>
      </c>
      <c r="D26" s="78"/>
      <c r="E26" s="78"/>
      <c r="F26" s="78"/>
      <c r="G26" s="78"/>
      <c r="H26" s="78"/>
      <c r="J26" s="43">
        <v>0.25</v>
      </c>
      <c r="K26" s="43"/>
      <c r="L26" s="43"/>
      <c r="N26" s="45"/>
    </row>
    <row r="27" spans="2:17" ht="15.75" customHeight="1">
      <c r="B27" s="55" t="s">
        <v>10</v>
      </c>
      <c r="C27" s="93">
        <v>1</v>
      </c>
      <c r="D27" s="94"/>
      <c r="E27" s="95"/>
      <c r="F27" s="96">
        <v>1</v>
      </c>
      <c r="G27" s="96"/>
      <c r="H27" s="97"/>
      <c r="J27" s="48">
        <f>SUM(C28:H28)</f>
        <v>0</v>
      </c>
      <c r="K27" s="48">
        <f>SUM(C27:H27)</f>
        <v>2</v>
      </c>
      <c r="L27" s="49">
        <f>+J27/K27</f>
        <v>0</v>
      </c>
      <c r="N27" s="45"/>
    </row>
    <row r="28" spans="2:17" ht="15" customHeight="1">
      <c r="B28" s="55"/>
      <c r="C28" s="98"/>
      <c r="D28" s="99"/>
      <c r="E28" s="100"/>
      <c r="F28" s="101"/>
      <c r="G28" s="101"/>
      <c r="H28" s="102"/>
      <c r="J28" s="48"/>
      <c r="K28" s="48"/>
      <c r="L28" s="49"/>
      <c r="N28" s="45"/>
    </row>
    <row r="29" spans="2:17" ht="15" customHeight="1">
      <c r="B29" s="14"/>
      <c r="C29" s="14"/>
      <c r="D29" s="14"/>
      <c r="E29" s="14"/>
      <c r="F29" s="14"/>
      <c r="G29" s="14"/>
      <c r="H29" s="14"/>
      <c r="J29" s="49">
        <f>+L27*J26</f>
        <v>0</v>
      </c>
      <c r="K29" s="49"/>
      <c r="L29" s="49"/>
      <c r="N29" s="45"/>
      <c r="Q29" s="19"/>
    </row>
    <row r="30" spans="2:17" ht="3.6" customHeight="1">
      <c r="B30" s="14"/>
      <c r="C30" s="14"/>
      <c r="D30" s="14"/>
      <c r="E30" s="14"/>
      <c r="F30" s="14"/>
      <c r="G30" s="14"/>
      <c r="H30" s="14"/>
      <c r="J30" s="25"/>
      <c r="K30" s="25"/>
      <c r="L30" s="25"/>
      <c r="N30" s="45"/>
      <c r="Q30" s="19"/>
    </row>
    <row r="31" spans="2:17" ht="15" customHeight="1">
      <c r="C31" s="40" t="s">
        <v>11</v>
      </c>
      <c r="D31" s="41"/>
      <c r="E31" s="41"/>
      <c r="F31" s="41"/>
      <c r="G31" s="41"/>
      <c r="H31" s="42"/>
      <c r="J31" s="43">
        <v>0.25</v>
      </c>
      <c r="K31" s="43"/>
      <c r="L31" s="43"/>
      <c r="N31" s="45"/>
      <c r="Q31" s="19"/>
    </row>
    <row r="32" spans="2:17" ht="15" customHeight="1">
      <c r="B32" s="48" t="s">
        <v>12</v>
      </c>
      <c r="C32" s="20">
        <v>1</v>
      </c>
      <c r="D32" s="20">
        <v>1</v>
      </c>
      <c r="E32" s="20">
        <v>1</v>
      </c>
      <c r="F32" s="20">
        <v>1</v>
      </c>
      <c r="G32" s="20">
        <v>1</v>
      </c>
      <c r="H32" s="20">
        <v>1</v>
      </c>
      <c r="J32" s="48">
        <f>SUM(C33:H33)</f>
        <v>0</v>
      </c>
      <c r="K32" s="48">
        <f>SUM(C32:H32)</f>
        <v>6</v>
      </c>
      <c r="L32" s="49">
        <f>+J32/K32</f>
        <v>0</v>
      </c>
      <c r="N32" s="45"/>
      <c r="Q32" s="19"/>
    </row>
    <row r="33" spans="2:17" ht="15" customHeight="1">
      <c r="B33" s="48"/>
      <c r="C33" s="24"/>
      <c r="D33" s="24"/>
      <c r="E33" s="24"/>
      <c r="F33" s="24"/>
      <c r="G33" s="24"/>
      <c r="H33" s="24"/>
      <c r="J33" s="48"/>
      <c r="K33" s="48"/>
      <c r="L33" s="49"/>
      <c r="N33" s="45"/>
      <c r="Q33" s="19"/>
    </row>
    <row r="34" spans="2:17" ht="15" customHeight="1">
      <c r="B34" s="14"/>
      <c r="C34" s="14"/>
      <c r="D34" s="14"/>
      <c r="E34" s="14"/>
      <c r="F34" s="14"/>
      <c r="G34" s="14"/>
      <c r="H34" s="14"/>
      <c r="J34" s="49">
        <f>+L32*J31</f>
        <v>0</v>
      </c>
      <c r="K34" s="49"/>
      <c r="L34" s="49"/>
      <c r="N34" s="45"/>
      <c r="Q34" s="19"/>
    </row>
    <row r="35" spans="2:17" ht="3.6" customHeight="1">
      <c r="B35" s="14"/>
      <c r="C35" s="14"/>
      <c r="D35" s="14"/>
      <c r="E35" s="14"/>
      <c r="F35" s="14"/>
      <c r="G35" s="14"/>
      <c r="H35" s="14"/>
      <c r="J35" s="25"/>
      <c r="K35" s="25"/>
      <c r="L35" s="25"/>
      <c r="N35" s="45"/>
      <c r="Q35" s="19"/>
    </row>
    <row r="36" spans="2:17" ht="15" customHeight="1">
      <c r="C36" s="40" t="s">
        <v>13</v>
      </c>
      <c r="D36" s="41"/>
      <c r="E36" s="41"/>
      <c r="F36" s="41"/>
      <c r="G36" s="41"/>
      <c r="H36" s="42"/>
      <c r="J36" s="43">
        <v>0.3</v>
      </c>
      <c r="K36" s="43"/>
      <c r="L36" s="43"/>
      <c r="N36" s="45"/>
      <c r="Q36" s="19"/>
    </row>
    <row r="37" spans="2:17" ht="15" customHeight="1">
      <c r="B37" s="67" t="s">
        <v>14</v>
      </c>
      <c r="C37" s="2">
        <v>1</v>
      </c>
      <c r="D37" s="20">
        <v>1</v>
      </c>
      <c r="E37" s="20">
        <v>1</v>
      </c>
      <c r="F37" s="20" t="s">
        <v>15</v>
      </c>
      <c r="G37" s="20" t="s">
        <v>15</v>
      </c>
      <c r="H37" s="20" t="s">
        <v>15</v>
      </c>
      <c r="J37" s="48">
        <f>SUM(C38:H38)</f>
        <v>0</v>
      </c>
      <c r="K37" s="48">
        <f>SUM(C37:H37)</f>
        <v>3</v>
      </c>
      <c r="L37" s="49">
        <f>+J37/K37</f>
        <v>0</v>
      </c>
      <c r="N37" s="45"/>
      <c r="Q37" s="19"/>
    </row>
    <row r="38" spans="2:17" ht="15" customHeight="1">
      <c r="B38" s="68"/>
      <c r="C38" s="4"/>
      <c r="D38" s="24"/>
      <c r="E38" s="24"/>
      <c r="F38" s="24"/>
      <c r="G38" s="24"/>
      <c r="H38" s="24"/>
      <c r="J38" s="48"/>
      <c r="K38" s="48"/>
      <c r="L38" s="49"/>
      <c r="N38" s="45"/>
      <c r="Q38" s="19"/>
    </row>
    <row r="39" spans="2:17" ht="15" customHeight="1">
      <c r="B39" s="68"/>
      <c r="C39" s="14"/>
      <c r="D39" s="14"/>
      <c r="E39" s="14"/>
      <c r="F39" s="14"/>
      <c r="G39" s="14"/>
      <c r="H39" s="14"/>
      <c r="J39" s="49">
        <f>+L37*J36</f>
        <v>0</v>
      </c>
      <c r="K39" s="49"/>
      <c r="L39" s="49"/>
      <c r="N39" s="45"/>
      <c r="Q39" s="19"/>
    </row>
    <row r="40" spans="2:17" ht="3.6" customHeight="1">
      <c r="B40" s="68"/>
      <c r="C40" s="14"/>
      <c r="D40" s="14"/>
      <c r="E40" s="14"/>
      <c r="F40" s="14"/>
      <c r="G40" s="14"/>
      <c r="H40" s="14"/>
      <c r="J40" s="25"/>
      <c r="K40" s="25"/>
      <c r="L40" s="25"/>
      <c r="N40" s="45"/>
      <c r="Q40" s="19"/>
    </row>
    <row r="41" spans="2:17" ht="15" customHeight="1">
      <c r="B41" s="68"/>
      <c r="C41" s="41" t="s">
        <v>16</v>
      </c>
      <c r="D41" s="41"/>
      <c r="E41" s="41"/>
      <c r="F41" s="41"/>
      <c r="G41" s="41"/>
      <c r="H41" s="42"/>
      <c r="J41" s="43">
        <v>0.7</v>
      </c>
      <c r="K41" s="43"/>
      <c r="L41" s="43"/>
      <c r="N41" s="45"/>
      <c r="Q41" s="19"/>
    </row>
    <row r="42" spans="2:17" ht="15" customHeight="1">
      <c r="B42" s="68"/>
      <c r="C42" s="2">
        <v>1</v>
      </c>
      <c r="D42" s="20">
        <v>1</v>
      </c>
      <c r="E42" s="20">
        <v>1</v>
      </c>
      <c r="F42" s="20" t="s">
        <v>15</v>
      </c>
      <c r="G42" s="20" t="s">
        <v>15</v>
      </c>
      <c r="H42" s="20" t="s">
        <v>15</v>
      </c>
      <c r="J42" s="48">
        <f>SUM(C43:H43)</f>
        <v>0</v>
      </c>
      <c r="K42" s="48">
        <f>SUM(C42:H42)</f>
        <v>3</v>
      </c>
      <c r="L42" s="49">
        <f>+J42/K42</f>
        <v>0</v>
      </c>
      <c r="N42" s="45"/>
      <c r="Q42" s="19"/>
    </row>
    <row r="43" spans="2:17" ht="15" customHeight="1">
      <c r="B43" s="69"/>
      <c r="C43" s="4"/>
      <c r="D43" s="24"/>
      <c r="E43" s="24"/>
      <c r="F43" s="24"/>
      <c r="G43" s="24"/>
      <c r="H43" s="24"/>
      <c r="J43" s="48"/>
      <c r="K43" s="48"/>
      <c r="L43" s="49"/>
      <c r="N43" s="45"/>
      <c r="Q43" s="19"/>
    </row>
    <row r="44" spans="2:17" ht="15" customHeight="1">
      <c r="B44" s="14"/>
      <c r="C44" s="14"/>
      <c r="D44" s="14"/>
      <c r="E44" s="14"/>
      <c r="F44" s="14"/>
      <c r="G44" s="14"/>
      <c r="H44" s="14"/>
      <c r="J44" s="49">
        <f>+L42*J41</f>
        <v>0</v>
      </c>
      <c r="K44" s="49"/>
      <c r="L44" s="49"/>
      <c r="N44" s="46"/>
      <c r="Q44" s="19"/>
    </row>
    <row r="45" spans="2:17" ht="15" customHeight="1">
      <c r="B45" s="14"/>
      <c r="C45" s="14"/>
      <c r="D45" s="14"/>
      <c r="E45" s="14"/>
      <c r="F45" s="14"/>
      <c r="G45" s="14"/>
      <c r="H45" s="14"/>
      <c r="J45" s="25"/>
      <c r="K45" s="25"/>
      <c r="L45" s="25"/>
      <c r="N45" s="27"/>
      <c r="Q45" s="19"/>
    </row>
    <row r="46" spans="2:17" ht="15.75">
      <c r="B46" s="14"/>
      <c r="C46" s="14"/>
      <c r="D46" s="14"/>
      <c r="E46" s="14"/>
      <c r="F46" s="14"/>
      <c r="G46" s="14"/>
      <c r="H46" s="14"/>
      <c r="J46" s="25"/>
      <c r="K46" s="25"/>
      <c r="L46" s="25"/>
      <c r="N46" s="28"/>
      <c r="Q46" s="19"/>
    </row>
    <row r="47" spans="2:17" ht="16.5" customHeight="1">
      <c r="B47" s="17" t="s">
        <v>17</v>
      </c>
      <c r="C47" s="14"/>
      <c r="D47" s="14"/>
      <c r="E47" s="14"/>
      <c r="F47" s="14"/>
      <c r="G47" s="14"/>
      <c r="H47" s="14"/>
      <c r="J47" s="25"/>
      <c r="K47" s="25"/>
      <c r="L47" s="25"/>
      <c r="N47" s="50">
        <v>0.25</v>
      </c>
      <c r="Q47" s="19"/>
    </row>
    <row r="48" spans="2:17" ht="15.75" customHeight="1">
      <c r="B48" s="14"/>
      <c r="C48" s="14"/>
      <c r="D48" s="14"/>
      <c r="E48" s="14"/>
      <c r="F48" s="14"/>
      <c r="G48" s="14"/>
      <c r="H48" s="14"/>
      <c r="J48" s="25"/>
      <c r="K48" s="25"/>
      <c r="L48" s="25"/>
      <c r="N48" s="50"/>
      <c r="Q48" s="19"/>
    </row>
    <row r="49" spans="2:17" ht="15" customHeight="1">
      <c r="C49" s="80" t="s">
        <v>7</v>
      </c>
      <c r="D49" s="80"/>
      <c r="E49" s="80"/>
      <c r="F49" s="80"/>
      <c r="G49" s="80"/>
      <c r="H49" s="80"/>
      <c r="J49" s="43">
        <v>0.5</v>
      </c>
      <c r="K49" s="43"/>
      <c r="L49" s="43"/>
      <c r="N49" s="44">
        <f>+(J52+J57+J62-J67-J72-J77)*N47</f>
        <v>0</v>
      </c>
      <c r="Q49" s="19"/>
    </row>
    <row r="50" spans="2:17" ht="15" customHeight="1">
      <c r="B50" s="48" t="s">
        <v>18</v>
      </c>
      <c r="C50" s="79">
        <v>1</v>
      </c>
      <c r="D50" s="79"/>
      <c r="E50" s="79"/>
      <c r="F50" s="79"/>
      <c r="G50" s="79"/>
      <c r="H50" s="79"/>
      <c r="J50" s="48">
        <f>+C51</f>
        <v>0</v>
      </c>
      <c r="K50" s="48">
        <f>+C50</f>
        <v>1</v>
      </c>
      <c r="L50" s="49">
        <f>+J50/K50</f>
        <v>0</v>
      </c>
      <c r="N50" s="45"/>
      <c r="Q50" s="19"/>
    </row>
    <row r="51" spans="2:17" ht="15" customHeight="1">
      <c r="B51" s="48"/>
      <c r="C51" s="64"/>
      <c r="D51" s="64"/>
      <c r="E51" s="64"/>
      <c r="F51" s="64"/>
      <c r="G51" s="64"/>
      <c r="H51" s="64"/>
      <c r="J51" s="48"/>
      <c r="K51" s="48"/>
      <c r="L51" s="49"/>
      <c r="N51" s="45"/>
      <c r="Q51" s="19"/>
    </row>
    <row r="52" spans="2:17" ht="15" customHeight="1">
      <c r="B52" s="14"/>
      <c r="C52" s="14"/>
      <c r="D52" s="14"/>
      <c r="E52" s="14"/>
      <c r="F52" s="14"/>
      <c r="G52" s="14"/>
      <c r="H52" s="14"/>
      <c r="J52" s="49">
        <f>+L50*J49</f>
        <v>0</v>
      </c>
      <c r="K52" s="49"/>
      <c r="L52" s="49"/>
      <c r="N52" s="45"/>
      <c r="Q52" s="19"/>
    </row>
    <row r="53" spans="2:17" ht="3.6" customHeight="1">
      <c r="B53" s="14"/>
      <c r="C53" s="14"/>
      <c r="D53" s="14"/>
      <c r="E53" s="14"/>
      <c r="F53" s="14"/>
      <c r="G53" s="14"/>
      <c r="H53" s="14"/>
      <c r="J53" s="25"/>
      <c r="K53" s="25"/>
      <c r="L53" s="25"/>
      <c r="N53" s="45"/>
      <c r="Q53" s="19"/>
    </row>
    <row r="54" spans="2:17" ht="15" customHeight="1">
      <c r="C54" s="60" t="s">
        <v>19</v>
      </c>
      <c r="D54" s="61"/>
      <c r="E54" s="61"/>
      <c r="F54" s="62"/>
      <c r="G54" s="65" t="s">
        <v>20</v>
      </c>
      <c r="H54" s="66"/>
      <c r="J54" s="43">
        <v>0.3</v>
      </c>
      <c r="K54" s="43"/>
      <c r="L54" s="43"/>
      <c r="N54" s="45"/>
      <c r="Q54" s="19"/>
    </row>
    <row r="55" spans="2:17" ht="15" customHeight="1">
      <c r="B55" s="48" t="s">
        <v>21</v>
      </c>
      <c r="C55" s="55">
        <v>1</v>
      </c>
      <c r="D55" s="63"/>
      <c r="E55" s="55">
        <v>1</v>
      </c>
      <c r="F55" s="63"/>
      <c r="G55" s="55">
        <v>1</v>
      </c>
      <c r="H55" s="63"/>
      <c r="J55" s="48">
        <f>SUM(C56:H56)</f>
        <v>0</v>
      </c>
      <c r="K55" s="48">
        <f>SUM(C55:H55)</f>
        <v>3</v>
      </c>
      <c r="L55" s="49">
        <f>+J55/K55</f>
        <v>0</v>
      </c>
      <c r="N55" s="45"/>
      <c r="Q55" s="19"/>
    </row>
    <row r="56" spans="2:17" ht="15" customHeight="1">
      <c r="B56" s="48"/>
      <c r="C56" s="56"/>
      <c r="D56" s="58"/>
      <c r="E56" s="56"/>
      <c r="F56" s="58"/>
      <c r="G56" s="56"/>
      <c r="H56" s="58"/>
      <c r="J56" s="48"/>
      <c r="K56" s="48"/>
      <c r="L56" s="49"/>
      <c r="N56" s="45"/>
      <c r="Q56" s="19"/>
    </row>
    <row r="57" spans="2:17" ht="15" customHeight="1">
      <c r="B57" s="14"/>
      <c r="C57" s="14"/>
      <c r="D57" s="14"/>
      <c r="E57" s="14"/>
      <c r="F57" s="14"/>
      <c r="G57" s="14"/>
      <c r="H57" s="14"/>
      <c r="J57" s="49">
        <f>+L55*J54</f>
        <v>0</v>
      </c>
      <c r="K57" s="49"/>
      <c r="L57" s="49"/>
      <c r="N57" s="45"/>
      <c r="Q57" s="19"/>
    </row>
    <row r="58" spans="2:17" ht="3.6" customHeight="1">
      <c r="B58" s="14"/>
      <c r="C58" s="14"/>
      <c r="D58" s="14"/>
      <c r="E58" s="14"/>
      <c r="F58" s="14"/>
      <c r="G58" s="14"/>
      <c r="H58" s="14"/>
      <c r="J58" s="25"/>
      <c r="K58" s="25"/>
      <c r="L58" s="25"/>
      <c r="N58" s="45"/>
      <c r="Q58" s="19"/>
    </row>
    <row r="59" spans="2:17" ht="15" customHeight="1">
      <c r="C59" s="78" t="s">
        <v>9</v>
      </c>
      <c r="D59" s="78"/>
      <c r="E59" s="78"/>
      <c r="F59" s="78"/>
      <c r="G59" s="78"/>
      <c r="H59" s="78"/>
      <c r="J59" s="43">
        <v>0.2</v>
      </c>
      <c r="K59" s="43"/>
      <c r="L59" s="43"/>
      <c r="N59" s="45"/>
      <c r="Q59" s="19"/>
    </row>
    <row r="60" spans="2:17" ht="15" customHeight="1">
      <c r="B60" s="55" t="s">
        <v>22</v>
      </c>
      <c r="C60" s="93">
        <v>1</v>
      </c>
      <c r="D60" s="94"/>
      <c r="E60" s="94"/>
      <c r="F60" s="103">
        <v>1</v>
      </c>
      <c r="G60" s="96"/>
      <c r="H60" s="97"/>
      <c r="J60" s="48">
        <f>SUM(C61:H61)</f>
        <v>0</v>
      </c>
      <c r="K60" s="48">
        <f>SUM(C60:H60)</f>
        <v>2</v>
      </c>
      <c r="L60" s="49">
        <f>+J60/K60</f>
        <v>0</v>
      </c>
      <c r="N60" s="45"/>
      <c r="Q60" s="19"/>
    </row>
    <row r="61" spans="2:17" ht="15" customHeight="1">
      <c r="B61" s="55"/>
      <c r="C61" s="104"/>
      <c r="D61" s="105"/>
      <c r="E61" s="106"/>
      <c r="F61" s="107"/>
      <c r="G61" s="107"/>
      <c r="H61" s="108"/>
      <c r="J61" s="48"/>
      <c r="K61" s="48"/>
      <c r="L61" s="49"/>
      <c r="N61" s="45"/>
      <c r="Q61" s="19"/>
    </row>
    <row r="62" spans="2:17" ht="15" customHeight="1">
      <c r="B62" s="14"/>
      <c r="C62" s="14"/>
      <c r="D62" s="14"/>
      <c r="E62" s="14"/>
      <c r="F62" s="14"/>
      <c r="G62" s="14"/>
      <c r="H62" s="14"/>
      <c r="J62" s="49">
        <f>+L60*J59</f>
        <v>0</v>
      </c>
      <c r="K62" s="49"/>
      <c r="L62" s="49"/>
      <c r="N62" s="45"/>
      <c r="Q62" s="19"/>
    </row>
    <row r="63" spans="2:17" ht="3.6" customHeight="1">
      <c r="B63" s="14"/>
      <c r="C63" s="14"/>
      <c r="D63" s="14"/>
      <c r="E63" s="14"/>
      <c r="F63" s="14"/>
      <c r="G63" s="14"/>
      <c r="H63" s="14"/>
      <c r="J63" s="25"/>
      <c r="K63" s="25"/>
      <c r="L63" s="25"/>
      <c r="N63" s="45"/>
      <c r="Q63" s="19"/>
    </row>
    <row r="64" spans="2:17" ht="15" customHeight="1">
      <c r="C64" s="40" t="s">
        <v>11</v>
      </c>
      <c r="D64" s="41"/>
      <c r="E64" s="41"/>
      <c r="F64" s="41"/>
      <c r="G64" s="41"/>
      <c r="H64" s="42"/>
      <c r="J64" s="43">
        <v>0.25</v>
      </c>
      <c r="K64" s="43"/>
      <c r="L64" s="43"/>
      <c r="N64" s="45"/>
      <c r="Q64" s="19"/>
    </row>
    <row r="65" spans="2:17" ht="15" customHeight="1">
      <c r="B65" s="48" t="s">
        <v>12</v>
      </c>
      <c r="C65" s="20">
        <v>1</v>
      </c>
      <c r="D65" s="20">
        <v>1</v>
      </c>
      <c r="E65" s="20">
        <v>1</v>
      </c>
      <c r="F65" s="20">
        <v>1</v>
      </c>
      <c r="G65" s="20">
        <v>1</v>
      </c>
      <c r="H65" s="20">
        <v>1</v>
      </c>
      <c r="J65" s="48">
        <f>SUM(C66:H66)</f>
        <v>0</v>
      </c>
      <c r="K65" s="48">
        <f>SUM(C65:H65)</f>
        <v>6</v>
      </c>
      <c r="L65" s="49">
        <f>+J65/K65</f>
        <v>0</v>
      </c>
      <c r="N65" s="45"/>
      <c r="Q65" s="19"/>
    </row>
    <row r="66" spans="2:17" ht="15" customHeight="1">
      <c r="B66" s="48"/>
      <c r="C66" s="24"/>
      <c r="D66" s="24"/>
      <c r="E66" s="24"/>
      <c r="F66" s="24"/>
      <c r="G66" s="24"/>
      <c r="H66" s="24"/>
      <c r="J66" s="48"/>
      <c r="K66" s="48"/>
      <c r="L66" s="49"/>
      <c r="N66" s="45"/>
      <c r="Q66" s="19"/>
    </row>
    <row r="67" spans="2:17" ht="15" customHeight="1">
      <c r="B67" s="14"/>
      <c r="C67" s="14"/>
      <c r="D67" s="14"/>
      <c r="E67" s="14"/>
      <c r="F67" s="14"/>
      <c r="G67" s="14"/>
      <c r="H67" s="14"/>
      <c r="J67" s="49">
        <f>+L65*J64</f>
        <v>0</v>
      </c>
      <c r="K67" s="49"/>
      <c r="L67" s="49"/>
      <c r="N67" s="45"/>
      <c r="Q67" s="19"/>
    </row>
    <row r="68" spans="2:17" ht="3.6" customHeight="1">
      <c r="B68" s="14"/>
      <c r="C68" s="14"/>
      <c r="D68" s="14"/>
      <c r="E68" s="14"/>
      <c r="F68" s="14"/>
      <c r="G68" s="14"/>
      <c r="H68" s="14"/>
      <c r="J68" s="25"/>
      <c r="K68" s="25"/>
      <c r="L68" s="25"/>
      <c r="N68" s="45"/>
      <c r="Q68" s="19"/>
    </row>
    <row r="69" spans="2:17" ht="15" customHeight="1">
      <c r="C69" s="40" t="s">
        <v>13</v>
      </c>
      <c r="D69" s="41"/>
      <c r="E69" s="41"/>
      <c r="F69" s="41"/>
      <c r="G69" s="41"/>
      <c r="H69" s="42"/>
      <c r="J69" s="43">
        <v>0.3</v>
      </c>
      <c r="K69" s="43"/>
      <c r="L69" s="43"/>
      <c r="N69" s="45"/>
      <c r="Q69" s="19"/>
    </row>
    <row r="70" spans="2:17" ht="15" customHeight="1">
      <c r="B70" s="67" t="s">
        <v>14</v>
      </c>
      <c r="C70" s="2">
        <v>1</v>
      </c>
      <c r="D70" s="20">
        <v>1</v>
      </c>
      <c r="E70" s="20">
        <v>1</v>
      </c>
      <c r="F70" s="20" t="s">
        <v>15</v>
      </c>
      <c r="G70" s="20" t="s">
        <v>15</v>
      </c>
      <c r="H70" s="20" t="s">
        <v>15</v>
      </c>
      <c r="J70" s="48">
        <f>SUM(C71:H71)</f>
        <v>0</v>
      </c>
      <c r="K70" s="48">
        <f>SUM(C70:H70)</f>
        <v>3</v>
      </c>
      <c r="L70" s="49">
        <f>+J70/K70</f>
        <v>0</v>
      </c>
      <c r="N70" s="45"/>
      <c r="Q70" s="19"/>
    </row>
    <row r="71" spans="2:17" ht="15" customHeight="1">
      <c r="B71" s="68"/>
      <c r="C71" s="4"/>
      <c r="D71" s="24"/>
      <c r="E71" s="24"/>
      <c r="F71" s="24"/>
      <c r="G71" s="24"/>
      <c r="H71" s="24"/>
      <c r="J71" s="48"/>
      <c r="K71" s="48"/>
      <c r="L71" s="49"/>
      <c r="N71" s="45"/>
      <c r="Q71" s="19"/>
    </row>
    <row r="72" spans="2:17" ht="15" customHeight="1">
      <c r="B72" s="68"/>
      <c r="C72" s="14"/>
      <c r="D72" s="14"/>
      <c r="E72" s="14"/>
      <c r="F72" s="14"/>
      <c r="G72" s="14"/>
      <c r="H72" s="14"/>
      <c r="J72" s="49">
        <f>+L70*J69</f>
        <v>0</v>
      </c>
      <c r="K72" s="49"/>
      <c r="L72" s="49"/>
      <c r="N72" s="45"/>
      <c r="Q72" s="19"/>
    </row>
    <row r="73" spans="2:17" ht="3.6" customHeight="1">
      <c r="B73" s="68"/>
      <c r="C73" s="14"/>
      <c r="D73" s="14"/>
      <c r="E73" s="14"/>
      <c r="F73" s="14"/>
      <c r="G73" s="14"/>
      <c r="H73" s="14"/>
      <c r="J73" s="25"/>
      <c r="K73" s="25"/>
      <c r="L73" s="25"/>
      <c r="N73" s="45"/>
      <c r="Q73" s="19"/>
    </row>
    <row r="74" spans="2:17" ht="15" customHeight="1">
      <c r="B74" s="68"/>
      <c r="C74" s="41" t="s">
        <v>16</v>
      </c>
      <c r="D74" s="41"/>
      <c r="E74" s="41"/>
      <c r="F74" s="41"/>
      <c r="G74" s="41"/>
      <c r="H74" s="42"/>
      <c r="J74" s="43">
        <v>0.7</v>
      </c>
      <c r="K74" s="43"/>
      <c r="L74" s="43"/>
      <c r="N74" s="45"/>
      <c r="Q74" s="19"/>
    </row>
    <row r="75" spans="2:17" ht="15" customHeight="1">
      <c r="B75" s="68"/>
      <c r="C75" s="2">
        <v>1</v>
      </c>
      <c r="D75" s="20">
        <v>1</v>
      </c>
      <c r="E75" s="20">
        <v>1</v>
      </c>
      <c r="F75" s="20" t="s">
        <v>15</v>
      </c>
      <c r="G75" s="20" t="s">
        <v>15</v>
      </c>
      <c r="H75" s="20" t="s">
        <v>15</v>
      </c>
      <c r="J75" s="48">
        <f>SUM(C76:H76)</f>
        <v>0</v>
      </c>
      <c r="K75" s="48">
        <f>SUM(C75:H75)</f>
        <v>3</v>
      </c>
      <c r="L75" s="49">
        <f>+J75/K75</f>
        <v>0</v>
      </c>
      <c r="N75" s="45"/>
      <c r="Q75" s="19"/>
    </row>
    <row r="76" spans="2:17" ht="15" customHeight="1">
      <c r="B76" s="69"/>
      <c r="C76" s="4"/>
      <c r="D76" s="24"/>
      <c r="E76" s="24"/>
      <c r="F76" s="24"/>
      <c r="G76" s="24"/>
      <c r="H76" s="24"/>
      <c r="J76" s="48"/>
      <c r="K76" s="48"/>
      <c r="L76" s="49"/>
      <c r="N76" s="45"/>
      <c r="Q76" s="19"/>
    </row>
    <row r="77" spans="2:17" ht="15" customHeight="1">
      <c r="B77" s="14"/>
      <c r="C77" s="14"/>
      <c r="D77" s="14"/>
      <c r="E77" s="14"/>
      <c r="F77" s="14"/>
      <c r="G77" s="14"/>
      <c r="H77" s="14"/>
      <c r="J77" s="49">
        <f>+L75*J74</f>
        <v>0</v>
      </c>
      <c r="K77" s="49"/>
      <c r="L77" s="49"/>
      <c r="N77" s="46"/>
      <c r="Q77" s="19"/>
    </row>
    <row r="78" spans="2:17" ht="15" customHeight="1">
      <c r="B78" s="14"/>
      <c r="C78" s="14"/>
      <c r="D78" s="14"/>
      <c r="E78" s="14"/>
      <c r="F78" s="14"/>
      <c r="G78" s="14"/>
      <c r="H78" s="14"/>
      <c r="J78" s="25"/>
      <c r="K78" s="25"/>
      <c r="L78" s="25"/>
      <c r="N78" s="27"/>
      <c r="Q78" s="19"/>
    </row>
    <row r="79" spans="2:17" ht="15" customHeight="1">
      <c r="B79" s="14"/>
      <c r="C79" s="14"/>
      <c r="D79" s="14"/>
      <c r="E79" s="14"/>
      <c r="F79" s="14"/>
      <c r="G79" s="14"/>
      <c r="H79" s="14"/>
      <c r="J79" s="25"/>
      <c r="K79" s="25"/>
      <c r="L79" s="25"/>
      <c r="N79" s="28"/>
      <c r="Q79" s="19"/>
    </row>
    <row r="80" spans="2:17" ht="15" customHeight="1">
      <c r="B80" s="37" t="s">
        <v>14</v>
      </c>
      <c r="C80" s="37"/>
      <c r="D80" s="37"/>
      <c r="E80" s="37"/>
      <c r="F80" s="37"/>
      <c r="G80" s="37"/>
      <c r="H80" s="37"/>
      <c r="I80" s="37"/>
      <c r="J80" s="37"/>
      <c r="K80" s="37"/>
      <c r="L80" s="37"/>
      <c r="N80" s="50">
        <v>-0.25</v>
      </c>
      <c r="Q80" s="19"/>
    </row>
    <row r="81" spans="2:17" ht="15" customHeight="1">
      <c r="B81" s="14"/>
      <c r="C81" s="14"/>
      <c r="D81" s="14"/>
      <c r="E81" s="14"/>
      <c r="F81" s="14"/>
      <c r="G81" s="14"/>
      <c r="H81" s="14"/>
      <c r="J81" s="25"/>
      <c r="K81" s="25"/>
      <c r="L81" s="25"/>
      <c r="N81" s="50"/>
      <c r="Q81" s="19"/>
    </row>
    <row r="82" spans="2:17" ht="15" customHeight="1">
      <c r="C82" s="59" t="s">
        <v>23</v>
      </c>
      <c r="D82" s="59"/>
      <c r="E82" s="59"/>
      <c r="F82" s="59"/>
      <c r="G82" s="59"/>
      <c r="H82" s="59"/>
      <c r="I82" s="7"/>
      <c r="J82" s="43">
        <v>0.3</v>
      </c>
      <c r="K82" s="43"/>
      <c r="L82" s="43"/>
      <c r="M82" s="7"/>
      <c r="N82" s="44">
        <f>+(J85+J95-J90-J100)*N80</f>
        <v>0</v>
      </c>
      <c r="Q82" s="19"/>
    </row>
    <row r="83" spans="2:17" ht="15" customHeight="1">
      <c r="B83" s="48" t="s">
        <v>24</v>
      </c>
      <c r="C83" s="20">
        <v>1</v>
      </c>
      <c r="D83" s="20">
        <v>1</v>
      </c>
      <c r="E83" s="20">
        <v>1</v>
      </c>
      <c r="F83" s="20" t="s">
        <v>15</v>
      </c>
      <c r="G83" s="20" t="s">
        <v>15</v>
      </c>
      <c r="H83" s="20" t="s">
        <v>15</v>
      </c>
      <c r="I83" s="7"/>
      <c r="J83" s="48">
        <f>SUM(C84:H84)</f>
        <v>0</v>
      </c>
      <c r="K83" s="48">
        <f>SUM(C83:H83)</f>
        <v>3</v>
      </c>
      <c r="L83" s="49">
        <f>+J83/K83</f>
        <v>0</v>
      </c>
      <c r="M83" s="7"/>
      <c r="N83" s="45"/>
      <c r="Q83" s="19"/>
    </row>
    <row r="84" spans="2:17" ht="15" customHeight="1">
      <c r="B84" s="48"/>
      <c r="C84" s="24"/>
      <c r="D84" s="24"/>
      <c r="E84" s="24"/>
      <c r="F84" s="29"/>
      <c r="G84" s="29"/>
      <c r="H84" s="29"/>
      <c r="I84" s="7"/>
      <c r="J84" s="48"/>
      <c r="K84" s="48"/>
      <c r="L84" s="49"/>
      <c r="M84" s="7"/>
      <c r="N84" s="45"/>
      <c r="Q84" s="19"/>
    </row>
    <row r="85" spans="2:17" ht="15" customHeight="1">
      <c r="B85" s="14"/>
      <c r="C85" s="7"/>
      <c r="D85" s="7"/>
      <c r="E85" s="7"/>
      <c r="F85" s="7"/>
      <c r="G85" s="7"/>
      <c r="H85" s="7"/>
      <c r="I85" s="7"/>
      <c r="J85" s="49">
        <f>+L83*J82</f>
        <v>0</v>
      </c>
      <c r="K85" s="49"/>
      <c r="L85" s="49"/>
      <c r="M85" s="7"/>
      <c r="N85" s="45"/>
      <c r="Q85" s="19"/>
    </row>
    <row r="86" spans="2:17" ht="15" customHeight="1">
      <c r="B86" s="14"/>
      <c r="C86" s="7"/>
      <c r="D86" s="7"/>
      <c r="E86" s="7"/>
      <c r="F86" s="7"/>
      <c r="G86" s="7"/>
      <c r="H86" s="7"/>
      <c r="I86" s="7"/>
      <c r="J86" s="25"/>
      <c r="K86" s="25"/>
      <c r="L86" s="25"/>
      <c r="M86" s="7"/>
      <c r="N86" s="45"/>
      <c r="Q86" s="19"/>
    </row>
    <row r="87" spans="2:17" ht="15" customHeight="1">
      <c r="C87" s="59" t="s">
        <v>23</v>
      </c>
      <c r="D87" s="59"/>
      <c r="E87" s="59"/>
      <c r="F87" s="59"/>
      <c r="G87" s="59"/>
      <c r="H87" s="59"/>
      <c r="I87" s="7"/>
      <c r="J87" s="43">
        <v>0.3</v>
      </c>
      <c r="K87" s="43"/>
      <c r="L87" s="43"/>
      <c r="M87" s="7"/>
      <c r="N87" s="45"/>
      <c r="Q87" s="19"/>
    </row>
    <row r="88" spans="2:17" ht="15" customHeight="1">
      <c r="B88" s="47" t="s">
        <v>25</v>
      </c>
      <c r="C88" s="20">
        <v>1</v>
      </c>
      <c r="D88" s="20">
        <v>1</v>
      </c>
      <c r="E88" s="20">
        <v>1</v>
      </c>
      <c r="F88" s="20" t="s">
        <v>15</v>
      </c>
      <c r="G88" s="20" t="s">
        <v>15</v>
      </c>
      <c r="H88" s="20" t="s">
        <v>15</v>
      </c>
      <c r="I88" s="7"/>
      <c r="J88" s="48">
        <f>SUM(C89:H89)</f>
        <v>0</v>
      </c>
      <c r="K88" s="48">
        <f>SUM(C88:H88)</f>
        <v>3</v>
      </c>
      <c r="L88" s="49">
        <f>+J88/K88</f>
        <v>0</v>
      </c>
      <c r="M88" s="7"/>
      <c r="N88" s="45"/>
      <c r="Q88" s="19"/>
    </row>
    <row r="89" spans="2:17" ht="15" customHeight="1">
      <c r="B89" s="47"/>
      <c r="C89" s="24"/>
      <c r="D89" s="24"/>
      <c r="E89" s="24"/>
      <c r="F89" s="29"/>
      <c r="G89" s="29"/>
      <c r="H89" s="29"/>
      <c r="I89" s="7"/>
      <c r="J89" s="48"/>
      <c r="K89" s="48"/>
      <c r="L89" s="49"/>
      <c r="M89" s="7"/>
      <c r="N89" s="45"/>
      <c r="Q89" s="19"/>
    </row>
    <row r="90" spans="2:17" ht="15" customHeight="1">
      <c r="B90" s="14"/>
      <c r="C90" s="7"/>
      <c r="D90" s="7"/>
      <c r="E90" s="7"/>
      <c r="F90" s="7"/>
      <c r="G90" s="7"/>
      <c r="H90" s="7"/>
      <c r="I90" s="7"/>
      <c r="J90" s="49">
        <f>+L88*J87</f>
        <v>0</v>
      </c>
      <c r="K90" s="49"/>
      <c r="L90" s="49"/>
      <c r="M90" s="7"/>
      <c r="N90" s="45"/>
      <c r="Q90" s="19"/>
    </row>
    <row r="91" spans="2:17" ht="15" customHeight="1">
      <c r="B91" s="14"/>
      <c r="C91" s="7"/>
      <c r="D91" s="7"/>
      <c r="E91" s="7"/>
      <c r="F91" s="7"/>
      <c r="G91" s="7"/>
      <c r="H91" s="7"/>
      <c r="I91" s="7"/>
      <c r="J91" s="25"/>
      <c r="K91" s="25"/>
      <c r="L91" s="25"/>
      <c r="M91" s="7"/>
      <c r="N91" s="45"/>
      <c r="Q91" s="19"/>
    </row>
    <row r="92" spans="2:17" ht="15" customHeight="1">
      <c r="C92" s="59" t="s">
        <v>26</v>
      </c>
      <c r="D92" s="59"/>
      <c r="E92" s="59"/>
      <c r="F92" s="59"/>
      <c r="G92" s="59"/>
      <c r="H92" s="59"/>
      <c r="I92" s="7"/>
      <c r="J92" s="43">
        <v>0.7</v>
      </c>
      <c r="K92" s="43"/>
      <c r="L92" s="43"/>
      <c r="M92" s="7"/>
      <c r="N92" s="45"/>
      <c r="Q92" s="19"/>
    </row>
    <row r="93" spans="2:17" ht="15" customHeight="1">
      <c r="B93" s="48" t="s">
        <v>27</v>
      </c>
      <c r="C93" s="20">
        <v>1</v>
      </c>
      <c r="D93" s="20">
        <v>1</v>
      </c>
      <c r="E93" s="20">
        <v>1</v>
      </c>
      <c r="F93" s="20" t="s">
        <v>15</v>
      </c>
      <c r="G93" s="20" t="s">
        <v>15</v>
      </c>
      <c r="H93" s="20" t="s">
        <v>15</v>
      </c>
      <c r="I93" s="7"/>
      <c r="J93" s="48">
        <f>SUM(C94:H94)</f>
        <v>0</v>
      </c>
      <c r="K93" s="48">
        <f>SUM(C93:H93)</f>
        <v>3</v>
      </c>
      <c r="L93" s="49">
        <f>+J93/K93</f>
        <v>0</v>
      </c>
      <c r="M93" s="7"/>
      <c r="N93" s="45"/>
      <c r="Q93" s="19"/>
    </row>
    <row r="94" spans="2:17" ht="15" customHeight="1">
      <c r="B94" s="48"/>
      <c r="C94" s="24"/>
      <c r="D94" s="24"/>
      <c r="E94" s="24"/>
      <c r="F94" s="29"/>
      <c r="G94" s="29"/>
      <c r="H94" s="29"/>
      <c r="I94" s="7"/>
      <c r="J94" s="48"/>
      <c r="K94" s="48"/>
      <c r="L94" s="49"/>
      <c r="M94" s="7"/>
      <c r="N94" s="45"/>
      <c r="Q94" s="19"/>
    </row>
    <row r="95" spans="2:17" ht="15" customHeight="1">
      <c r="B95" s="14"/>
      <c r="C95" s="7"/>
      <c r="D95" s="7"/>
      <c r="E95" s="7"/>
      <c r="F95" s="7"/>
      <c r="G95" s="7"/>
      <c r="H95" s="7"/>
      <c r="I95" s="7"/>
      <c r="J95" s="49">
        <f>+L93*J92</f>
        <v>0</v>
      </c>
      <c r="K95" s="49"/>
      <c r="L95" s="49"/>
      <c r="M95" s="7"/>
      <c r="N95" s="45"/>
      <c r="Q95" s="19"/>
    </row>
    <row r="96" spans="2:17" ht="15" customHeight="1">
      <c r="B96" s="14"/>
      <c r="C96" s="7"/>
      <c r="D96" s="7"/>
      <c r="E96" s="7"/>
      <c r="F96" s="7"/>
      <c r="G96" s="7"/>
      <c r="H96" s="7"/>
      <c r="I96" s="7"/>
      <c r="J96" s="25"/>
      <c r="K96" s="25"/>
      <c r="L96" s="25"/>
      <c r="M96" s="7"/>
      <c r="N96" s="45"/>
      <c r="Q96" s="19"/>
    </row>
    <row r="97" spans="2:17" ht="15" customHeight="1">
      <c r="C97" s="59" t="s">
        <v>26</v>
      </c>
      <c r="D97" s="59"/>
      <c r="E97" s="59"/>
      <c r="F97" s="59"/>
      <c r="G97" s="59"/>
      <c r="H97" s="59"/>
      <c r="I97" s="7"/>
      <c r="J97" s="43">
        <v>0.7</v>
      </c>
      <c r="K97" s="43"/>
      <c r="L97" s="43"/>
      <c r="M97" s="7"/>
      <c r="N97" s="45"/>
      <c r="Q97" s="19"/>
    </row>
    <row r="98" spans="2:17" ht="15" customHeight="1">
      <c r="B98" s="47" t="s">
        <v>28</v>
      </c>
      <c r="C98" s="20">
        <v>1</v>
      </c>
      <c r="D98" s="20">
        <v>1</v>
      </c>
      <c r="E98" s="20">
        <v>1</v>
      </c>
      <c r="F98" s="20" t="s">
        <v>15</v>
      </c>
      <c r="G98" s="20" t="s">
        <v>15</v>
      </c>
      <c r="H98" s="20" t="s">
        <v>15</v>
      </c>
      <c r="I98" s="7"/>
      <c r="J98" s="48">
        <f>SUM(C99:H99)</f>
        <v>0</v>
      </c>
      <c r="K98" s="48">
        <f>SUM(C98:H98)</f>
        <v>3</v>
      </c>
      <c r="L98" s="49">
        <f>+J98/K98</f>
        <v>0</v>
      </c>
      <c r="M98" s="7"/>
      <c r="N98" s="45"/>
      <c r="Q98" s="19"/>
    </row>
    <row r="99" spans="2:17" ht="15" customHeight="1">
      <c r="B99" s="47"/>
      <c r="C99" s="24"/>
      <c r="D99" s="24"/>
      <c r="E99" s="24"/>
      <c r="F99" s="29"/>
      <c r="G99" s="29"/>
      <c r="H99" s="29"/>
      <c r="I99" s="7"/>
      <c r="J99" s="48"/>
      <c r="K99" s="48"/>
      <c r="L99" s="49"/>
      <c r="M99" s="7"/>
      <c r="N99" s="45"/>
      <c r="Q99" s="19"/>
    </row>
    <row r="100" spans="2:17" ht="15" customHeight="1">
      <c r="B100" s="14"/>
      <c r="C100" s="7"/>
      <c r="D100" s="7"/>
      <c r="E100" s="7"/>
      <c r="F100" s="7"/>
      <c r="G100" s="7"/>
      <c r="H100" s="7"/>
      <c r="I100" s="7"/>
      <c r="J100" s="49">
        <f>+L98*J97</f>
        <v>0</v>
      </c>
      <c r="K100" s="49"/>
      <c r="L100" s="49"/>
      <c r="M100" s="7"/>
      <c r="N100" s="46"/>
      <c r="Q100" s="19"/>
    </row>
    <row r="101" spans="2:17">
      <c r="B101" s="14"/>
      <c r="C101" s="7"/>
      <c r="D101" s="7"/>
      <c r="E101" s="7"/>
      <c r="F101" s="7"/>
      <c r="G101" s="7"/>
      <c r="H101" s="7"/>
      <c r="I101" s="7"/>
      <c r="J101" s="25"/>
      <c r="K101" s="25"/>
      <c r="L101" s="25"/>
      <c r="M101" s="7"/>
      <c r="Q101" s="19"/>
    </row>
    <row r="102" spans="2:17" ht="23.25" customHeight="1">
      <c r="B102" s="110" t="s">
        <v>29</v>
      </c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7"/>
      <c r="N102" s="50">
        <v>0.05</v>
      </c>
      <c r="Q102" s="19"/>
    </row>
    <row r="103" spans="2:17">
      <c r="B103" s="14"/>
      <c r="C103" s="7"/>
      <c r="D103" s="7"/>
      <c r="E103" s="7"/>
      <c r="F103" s="7"/>
      <c r="G103" s="7"/>
      <c r="H103" s="7"/>
      <c r="I103" s="7"/>
      <c r="J103" s="25"/>
      <c r="K103" s="25"/>
      <c r="L103" s="25"/>
      <c r="M103" s="7"/>
      <c r="N103" s="50"/>
      <c r="Q103" s="19"/>
    </row>
    <row r="104" spans="2:17" ht="15" customHeight="1">
      <c r="C104" s="40" t="s">
        <v>30</v>
      </c>
      <c r="D104" s="42"/>
      <c r="E104" s="41" t="s">
        <v>31</v>
      </c>
      <c r="F104" s="41"/>
      <c r="G104" s="41"/>
      <c r="H104" s="42"/>
      <c r="I104" s="7"/>
      <c r="J104" s="43">
        <v>0.5</v>
      </c>
      <c r="K104" s="43"/>
      <c r="L104" s="43"/>
      <c r="M104" s="7"/>
      <c r="N104" s="54">
        <f>+(J107+J112)*N102</f>
        <v>0</v>
      </c>
      <c r="Q104" s="19"/>
    </row>
    <row r="105" spans="2:17" ht="15" customHeight="1">
      <c r="B105" s="48" t="s">
        <v>32</v>
      </c>
      <c r="C105" s="20">
        <v>1</v>
      </c>
      <c r="D105" s="20">
        <v>1</v>
      </c>
      <c r="E105" s="20">
        <v>1</v>
      </c>
      <c r="F105" s="20">
        <v>1</v>
      </c>
      <c r="G105" s="20">
        <v>1</v>
      </c>
      <c r="H105" s="20">
        <v>1</v>
      </c>
      <c r="I105" s="26"/>
      <c r="J105" s="48">
        <f>SUM(C106:I106)</f>
        <v>0</v>
      </c>
      <c r="K105" s="48">
        <f>SUM(C105:H105)</f>
        <v>6</v>
      </c>
      <c r="L105" s="49">
        <f>+J105/K105</f>
        <v>0</v>
      </c>
      <c r="M105" s="7"/>
      <c r="N105" s="54"/>
      <c r="Q105" s="19"/>
    </row>
    <row r="106" spans="2:17" ht="27" customHeight="1">
      <c r="B106" s="48"/>
      <c r="C106" s="29"/>
      <c r="D106" s="5"/>
      <c r="E106" s="5"/>
      <c r="F106" s="5"/>
      <c r="G106" s="5"/>
      <c r="H106" s="29"/>
      <c r="I106" s="7"/>
      <c r="J106" s="48"/>
      <c r="K106" s="48"/>
      <c r="L106" s="49"/>
      <c r="M106" s="7"/>
      <c r="N106" s="54"/>
    </row>
    <row r="107" spans="2:17" ht="15" customHeight="1">
      <c r="B107" s="14"/>
      <c r="C107" s="7"/>
      <c r="D107" s="7"/>
      <c r="E107" s="7"/>
      <c r="F107" s="7"/>
      <c r="G107" s="7"/>
      <c r="H107" s="7"/>
      <c r="I107" s="7"/>
      <c r="J107" s="49">
        <f>+L105*J104</f>
        <v>0</v>
      </c>
      <c r="K107" s="49"/>
      <c r="L107" s="49"/>
      <c r="M107" s="7"/>
      <c r="N107" s="54"/>
    </row>
    <row r="108" spans="2:17" ht="3.6" customHeight="1">
      <c r="B108" s="14"/>
      <c r="C108" s="7"/>
      <c r="D108" s="7"/>
      <c r="E108" s="7"/>
      <c r="F108" s="7"/>
      <c r="G108" s="7"/>
      <c r="H108" s="7"/>
      <c r="I108" s="7"/>
      <c r="J108" s="25"/>
      <c r="K108" s="25"/>
      <c r="L108" s="25"/>
      <c r="M108" s="7"/>
      <c r="N108" s="54"/>
    </row>
    <row r="109" spans="2:17" ht="15" customHeight="1">
      <c r="C109" s="40" t="s">
        <v>33</v>
      </c>
      <c r="D109" s="41"/>
      <c r="E109" s="41"/>
      <c r="F109" s="41"/>
      <c r="G109" s="41"/>
      <c r="H109" s="42"/>
      <c r="I109" s="7"/>
      <c r="J109" s="43">
        <v>0.5</v>
      </c>
      <c r="K109" s="43"/>
      <c r="L109" s="43"/>
      <c r="M109" s="7"/>
      <c r="N109" s="54"/>
    </row>
    <row r="110" spans="2:17" ht="15" customHeight="1">
      <c r="B110" s="48" t="s">
        <v>34</v>
      </c>
      <c r="C110" s="55">
        <v>1</v>
      </c>
      <c r="D110" s="84"/>
      <c r="E110" s="84"/>
      <c r="F110" s="84"/>
      <c r="G110" s="84"/>
      <c r="H110" s="63"/>
      <c r="I110" s="7"/>
      <c r="J110" s="48">
        <f>+C111</f>
        <v>0</v>
      </c>
      <c r="K110" s="48">
        <f>+C110</f>
        <v>1</v>
      </c>
      <c r="L110" s="49">
        <f>+J110/K110</f>
        <v>0</v>
      </c>
      <c r="M110" s="7"/>
      <c r="N110" s="54"/>
    </row>
    <row r="111" spans="2:17" ht="15" customHeight="1">
      <c r="B111" s="48"/>
      <c r="C111" s="56"/>
      <c r="D111" s="57"/>
      <c r="E111" s="57"/>
      <c r="F111" s="57"/>
      <c r="G111" s="57"/>
      <c r="H111" s="58"/>
      <c r="I111" s="7"/>
      <c r="J111" s="48"/>
      <c r="K111" s="48"/>
      <c r="L111" s="49"/>
      <c r="M111" s="7"/>
      <c r="N111" s="54"/>
    </row>
    <row r="112" spans="2:17" ht="15" customHeight="1">
      <c r="B112" s="14"/>
      <c r="C112" s="7"/>
      <c r="D112" s="7"/>
      <c r="E112" s="7"/>
      <c r="F112" s="7"/>
      <c r="G112" s="7"/>
      <c r="H112" s="7"/>
      <c r="I112" s="7"/>
      <c r="J112" s="49">
        <f>+L110*J109</f>
        <v>0</v>
      </c>
      <c r="K112" s="49"/>
      <c r="L112" s="49"/>
      <c r="M112" s="7"/>
      <c r="N112" s="54"/>
      <c r="Q112" s="19"/>
    </row>
    <row r="113" spans="2:17" ht="15" customHeight="1">
      <c r="B113" s="14"/>
      <c r="C113" s="7"/>
      <c r="D113" s="7"/>
      <c r="E113" s="7"/>
      <c r="F113" s="7"/>
      <c r="G113" s="7"/>
      <c r="H113" s="7"/>
      <c r="I113" s="7"/>
      <c r="J113" s="25"/>
      <c r="K113" s="25"/>
      <c r="L113" s="25"/>
      <c r="M113" s="7"/>
      <c r="N113" s="30"/>
    </row>
    <row r="114" spans="2:17" ht="15.75" customHeight="1">
      <c r="B114" s="110" t="s">
        <v>35</v>
      </c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7"/>
      <c r="N114" s="50">
        <v>0.2</v>
      </c>
    </row>
    <row r="115" spans="2:17">
      <c r="B115" s="14"/>
      <c r="C115" s="7"/>
      <c r="D115" s="7"/>
      <c r="E115" s="7"/>
      <c r="F115" s="7"/>
      <c r="G115" s="7"/>
      <c r="H115" s="7"/>
      <c r="I115" s="7"/>
      <c r="J115" s="25"/>
      <c r="K115" s="25"/>
      <c r="L115" s="25"/>
      <c r="M115" s="7"/>
      <c r="N115" s="50"/>
    </row>
    <row r="116" spans="2:17" ht="14.45" customHeight="1">
      <c r="C116" s="40" t="s">
        <v>36</v>
      </c>
      <c r="D116" s="41"/>
      <c r="E116" s="41"/>
      <c r="F116" s="41"/>
      <c r="G116" s="41"/>
      <c r="H116" s="42"/>
      <c r="I116" s="7"/>
      <c r="J116" s="43">
        <v>0.25</v>
      </c>
      <c r="K116" s="43"/>
      <c r="L116" s="43"/>
      <c r="M116" s="7"/>
      <c r="N116" s="44">
        <f>+(J119+J124+J129-J134-J139-J144)*N114</f>
        <v>0</v>
      </c>
    </row>
    <row r="117" spans="2:17" ht="14.45" customHeight="1">
      <c r="B117" s="48" t="s">
        <v>37</v>
      </c>
      <c r="C117" s="55">
        <v>1</v>
      </c>
      <c r="D117" s="84"/>
      <c r="E117" s="84"/>
      <c r="F117" s="84"/>
      <c r="G117" s="84"/>
      <c r="H117" s="63"/>
      <c r="I117" s="7"/>
      <c r="J117" s="48">
        <f>SUM(C118:I118)</f>
        <v>0</v>
      </c>
      <c r="K117" s="48">
        <f>SUM(C117:H117)</f>
        <v>1</v>
      </c>
      <c r="L117" s="49">
        <f>+J117/K117</f>
        <v>0</v>
      </c>
      <c r="M117" s="7"/>
      <c r="N117" s="45"/>
      <c r="Q117" s="12"/>
    </row>
    <row r="118" spans="2:17" ht="14.45" customHeight="1">
      <c r="B118" s="48"/>
      <c r="C118" s="56"/>
      <c r="D118" s="57"/>
      <c r="E118" s="57"/>
      <c r="F118" s="57"/>
      <c r="G118" s="57"/>
      <c r="H118" s="58"/>
      <c r="I118" s="7"/>
      <c r="J118" s="48"/>
      <c r="K118" s="48"/>
      <c r="L118" s="49"/>
      <c r="M118" s="7"/>
      <c r="N118" s="45"/>
      <c r="Q118" s="12"/>
    </row>
    <row r="119" spans="2:17" ht="14.45" customHeight="1">
      <c r="B119" s="14"/>
      <c r="C119" s="7"/>
      <c r="D119" s="7"/>
      <c r="E119" s="7"/>
      <c r="F119" s="7"/>
      <c r="G119" s="7"/>
      <c r="H119" s="7"/>
      <c r="I119" s="7"/>
      <c r="J119" s="49">
        <f>+L117*J116</f>
        <v>0</v>
      </c>
      <c r="K119" s="49"/>
      <c r="L119" s="49"/>
      <c r="M119" s="7"/>
      <c r="N119" s="45"/>
      <c r="Q119" s="12"/>
    </row>
    <row r="120" spans="2:17" ht="3.6" customHeight="1">
      <c r="B120" s="14"/>
      <c r="C120" s="7"/>
      <c r="D120" s="7"/>
      <c r="E120" s="7"/>
      <c r="F120" s="7"/>
      <c r="G120" s="7"/>
      <c r="H120" s="7"/>
      <c r="I120" s="7"/>
      <c r="J120" s="25"/>
      <c r="K120" s="25"/>
      <c r="L120" s="25"/>
      <c r="M120" s="7"/>
      <c r="N120" s="45"/>
      <c r="Q120" s="12"/>
    </row>
    <row r="121" spans="2:17" ht="14.45" customHeight="1">
      <c r="C121" s="40" t="s">
        <v>38</v>
      </c>
      <c r="D121" s="41"/>
      <c r="E121" s="41"/>
      <c r="F121" s="41"/>
      <c r="G121" s="41"/>
      <c r="H121" s="42"/>
      <c r="I121" s="7"/>
      <c r="J121" s="43">
        <v>0.4</v>
      </c>
      <c r="K121" s="43"/>
      <c r="L121" s="43"/>
      <c r="M121" s="7"/>
      <c r="N121" s="45"/>
      <c r="Q121" s="12"/>
    </row>
    <row r="122" spans="2:17" ht="14.45" customHeight="1">
      <c r="B122" s="48" t="s">
        <v>39</v>
      </c>
      <c r="C122" s="55">
        <v>1</v>
      </c>
      <c r="D122" s="84"/>
      <c r="E122" s="63"/>
      <c r="F122" s="55">
        <v>1</v>
      </c>
      <c r="G122" s="84"/>
      <c r="H122" s="63"/>
      <c r="I122" s="7"/>
      <c r="J122" s="48">
        <f>SUM(C123:I123)</f>
        <v>0</v>
      </c>
      <c r="K122" s="48">
        <f>SUM(C122:H122)</f>
        <v>2</v>
      </c>
      <c r="L122" s="49">
        <f>+J122/K122</f>
        <v>0</v>
      </c>
      <c r="M122" s="7"/>
      <c r="N122" s="45"/>
      <c r="Q122" s="12"/>
    </row>
    <row r="123" spans="2:17" ht="14.45" customHeight="1">
      <c r="B123" s="48"/>
      <c r="C123" s="56"/>
      <c r="D123" s="57"/>
      <c r="E123" s="58"/>
      <c r="F123" s="56"/>
      <c r="G123" s="57"/>
      <c r="H123" s="58"/>
      <c r="I123" s="7"/>
      <c r="J123" s="48"/>
      <c r="K123" s="48"/>
      <c r="L123" s="49"/>
      <c r="M123" s="7"/>
      <c r="N123" s="45"/>
      <c r="Q123" s="12"/>
    </row>
    <row r="124" spans="2:17" ht="14.45" customHeight="1">
      <c r="B124" s="14"/>
      <c r="C124" s="7"/>
      <c r="D124" s="7"/>
      <c r="E124" s="7"/>
      <c r="F124" s="7"/>
      <c r="G124" s="7"/>
      <c r="H124" s="7"/>
      <c r="I124" s="7"/>
      <c r="J124" s="49">
        <f>+L122*J121</f>
        <v>0</v>
      </c>
      <c r="K124" s="49"/>
      <c r="L124" s="49"/>
      <c r="M124" s="7"/>
      <c r="N124" s="45"/>
      <c r="Q124" s="12"/>
    </row>
    <row r="125" spans="2:17" ht="3.6" customHeight="1">
      <c r="B125" s="14"/>
      <c r="C125" s="7"/>
      <c r="D125" s="7"/>
      <c r="E125" s="7"/>
      <c r="F125" s="7"/>
      <c r="G125" s="7"/>
      <c r="H125" s="7"/>
      <c r="I125" s="7"/>
      <c r="J125" s="25"/>
      <c r="K125" s="25"/>
      <c r="L125" s="25"/>
      <c r="M125" s="7"/>
      <c r="N125" s="45"/>
      <c r="Q125" s="12"/>
    </row>
    <row r="126" spans="2:17" ht="14.45" customHeight="1">
      <c r="C126" s="40" t="s">
        <v>40</v>
      </c>
      <c r="D126" s="41"/>
      <c r="E126" s="41"/>
      <c r="F126" s="41"/>
      <c r="G126" s="41"/>
      <c r="H126" s="42"/>
      <c r="I126" s="7"/>
      <c r="J126" s="43">
        <v>0.35</v>
      </c>
      <c r="K126" s="43"/>
      <c r="L126" s="43"/>
      <c r="M126" s="7"/>
      <c r="N126" s="45"/>
      <c r="Q126" s="12"/>
    </row>
    <row r="127" spans="2:17" ht="14.45" customHeight="1">
      <c r="B127" s="48" t="s">
        <v>41</v>
      </c>
      <c r="C127" s="55">
        <v>1</v>
      </c>
      <c r="D127" s="84"/>
      <c r="E127" s="84"/>
      <c r="F127" s="84"/>
      <c r="G127" s="84"/>
      <c r="H127" s="63"/>
      <c r="I127" s="7"/>
      <c r="J127" s="48">
        <f>SUM(C128:I128)</f>
        <v>0</v>
      </c>
      <c r="K127" s="48">
        <f>SUM(C127:H127)</f>
        <v>1</v>
      </c>
      <c r="L127" s="49">
        <f>+J127/K127</f>
        <v>0</v>
      </c>
      <c r="M127" s="7"/>
      <c r="N127" s="45"/>
      <c r="Q127" s="12"/>
    </row>
    <row r="128" spans="2:17" ht="14.45" customHeight="1">
      <c r="B128" s="48"/>
      <c r="C128" s="56"/>
      <c r="D128" s="57"/>
      <c r="E128" s="57"/>
      <c r="F128" s="57"/>
      <c r="G128" s="57"/>
      <c r="H128" s="58"/>
      <c r="I128" s="7"/>
      <c r="J128" s="48"/>
      <c r="K128" s="48"/>
      <c r="L128" s="49"/>
      <c r="M128" s="7"/>
      <c r="N128" s="45"/>
      <c r="Q128" s="12"/>
    </row>
    <row r="129" spans="2:17" ht="14.45" customHeight="1">
      <c r="B129" s="14"/>
      <c r="C129" s="7"/>
      <c r="D129" s="7"/>
      <c r="E129" s="7"/>
      <c r="F129" s="7"/>
      <c r="G129" s="7"/>
      <c r="H129" s="7"/>
      <c r="I129" s="7"/>
      <c r="J129" s="49">
        <f>+L127*J126</f>
        <v>0</v>
      </c>
      <c r="K129" s="49"/>
      <c r="L129" s="49"/>
      <c r="M129" s="7"/>
      <c r="N129" s="45"/>
      <c r="Q129" s="12"/>
    </row>
    <row r="130" spans="2:17" ht="3.6" customHeight="1">
      <c r="B130" s="14"/>
      <c r="C130" s="7"/>
      <c r="D130" s="7"/>
      <c r="E130" s="7"/>
      <c r="F130" s="7"/>
      <c r="G130" s="7"/>
      <c r="H130" s="7"/>
      <c r="I130" s="7"/>
      <c r="J130" s="25"/>
      <c r="K130" s="25"/>
      <c r="L130" s="25"/>
      <c r="M130" s="7"/>
      <c r="N130" s="45"/>
      <c r="Q130" s="12"/>
    </row>
    <row r="131" spans="2:17" ht="14.45" customHeight="1">
      <c r="C131" s="40" t="s">
        <v>42</v>
      </c>
      <c r="D131" s="41"/>
      <c r="E131" s="41"/>
      <c r="F131" s="41"/>
      <c r="G131" s="41"/>
      <c r="H131" s="42"/>
      <c r="I131" s="7"/>
      <c r="J131" s="43">
        <v>0.25</v>
      </c>
      <c r="K131" s="43"/>
      <c r="L131" s="43"/>
      <c r="M131" s="7"/>
      <c r="N131" s="45"/>
      <c r="Q131" s="12"/>
    </row>
    <row r="132" spans="2:17" ht="14.45" customHeight="1">
      <c r="B132" s="48" t="s">
        <v>12</v>
      </c>
      <c r="C132" s="20">
        <v>1</v>
      </c>
      <c r="D132" s="20">
        <v>1</v>
      </c>
      <c r="E132" s="20">
        <v>1</v>
      </c>
      <c r="F132" s="20">
        <v>1</v>
      </c>
      <c r="G132" s="20">
        <v>1</v>
      </c>
      <c r="H132" s="20">
        <v>1</v>
      </c>
      <c r="I132" s="7"/>
      <c r="J132" s="48">
        <f>SUM(C133:H133)</f>
        <v>0</v>
      </c>
      <c r="K132" s="48">
        <f>SUM(C132:H132)</f>
        <v>6</v>
      </c>
      <c r="L132" s="49">
        <f>+J132/K132</f>
        <v>0</v>
      </c>
      <c r="M132" s="7"/>
      <c r="N132" s="45"/>
      <c r="Q132" s="12"/>
    </row>
    <row r="133" spans="2:17" ht="14.45" customHeight="1">
      <c r="B133" s="48"/>
      <c r="C133" s="24"/>
      <c r="D133" s="24"/>
      <c r="E133" s="24"/>
      <c r="F133" s="24"/>
      <c r="G133" s="24"/>
      <c r="H133" s="24"/>
      <c r="I133" s="7"/>
      <c r="J133" s="48"/>
      <c r="K133" s="48"/>
      <c r="L133" s="49"/>
      <c r="M133" s="7"/>
      <c r="N133" s="45"/>
      <c r="Q133" s="12"/>
    </row>
    <row r="134" spans="2:17" ht="14.25" customHeight="1">
      <c r="B134" s="14"/>
      <c r="C134" s="7"/>
      <c r="D134" s="7"/>
      <c r="E134" s="7"/>
      <c r="F134" s="7"/>
      <c r="G134" s="7"/>
      <c r="H134" s="7"/>
      <c r="I134" s="7"/>
      <c r="J134" s="49">
        <f>+L132*J131</f>
        <v>0</v>
      </c>
      <c r="K134" s="49"/>
      <c r="L134" s="49"/>
      <c r="M134" s="7"/>
      <c r="N134" s="45"/>
      <c r="Q134" s="12"/>
    </row>
    <row r="135" spans="2:17" ht="3.6" customHeight="1">
      <c r="B135" s="14"/>
      <c r="C135" s="7"/>
      <c r="D135" s="7"/>
      <c r="E135" s="7"/>
      <c r="F135" s="7"/>
      <c r="G135" s="7"/>
      <c r="H135" s="7"/>
      <c r="I135" s="7"/>
      <c r="J135" s="25"/>
      <c r="K135" s="25"/>
      <c r="L135" s="25"/>
      <c r="M135" s="7"/>
      <c r="N135" s="45"/>
      <c r="Q135" s="12"/>
    </row>
    <row r="136" spans="2:17" ht="14.25" customHeight="1">
      <c r="C136" s="40" t="s">
        <v>13</v>
      </c>
      <c r="D136" s="41"/>
      <c r="E136" s="41"/>
      <c r="F136" s="41"/>
      <c r="G136" s="41"/>
      <c r="H136" s="42"/>
      <c r="J136" s="43">
        <v>0.3</v>
      </c>
      <c r="K136" s="43"/>
      <c r="L136" s="43"/>
      <c r="M136" s="7"/>
      <c r="N136" s="45"/>
      <c r="Q136" s="12"/>
    </row>
    <row r="137" spans="2:17" ht="14.25" customHeight="1">
      <c r="B137" s="67" t="s">
        <v>14</v>
      </c>
      <c r="C137" s="2">
        <v>1</v>
      </c>
      <c r="D137" s="20">
        <v>1</v>
      </c>
      <c r="E137" s="20">
        <v>1</v>
      </c>
      <c r="F137" s="20" t="s">
        <v>15</v>
      </c>
      <c r="G137" s="20" t="s">
        <v>15</v>
      </c>
      <c r="H137" s="20" t="s">
        <v>15</v>
      </c>
      <c r="J137" s="48">
        <f>SUM(C138:H138)</f>
        <v>0</v>
      </c>
      <c r="K137" s="48">
        <f>SUM(C137:H137)</f>
        <v>3</v>
      </c>
      <c r="L137" s="49">
        <f>+J137/K137</f>
        <v>0</v>
      </c>
      <c r="M137" s="7"/>
      <c r="N137" s="45"/>
      <c r="Q137" s="12"/>
    </row>
    <row r="138" spans="2:17" ht="14.25" customHeight="1">
      <c r="B138" s="68"/>
      <c r="C138" s="4"/>
      <c r="D138" s="24"/>
      <c r="E138" s="24"/>
      <c r="F138" s="24"/>
      <c r="G138" s="24"/>
      <c r="H138" s="24"/>
      <c r="J138" s="48"/>
      <c r="K138" s="48"/>
      <c r="L138" s="49"/>
      <c r="M138" s="7"/>
      <c r="N138" s="45"/>
      <c r="Q138" s="12"/>
    </row>
    <row r="139" spans="2:17" ht="14.25" customHeight="1">
      <c r="B139" s="68"/>
      <c r="C139" s="14"/>
      <c r="D139" s="14"/>
      <c r="E139" s="14"/>
      <c r="F139" s="14"/>
      <c r="G139" s="14"/>
      <c r="H139" s="14"/>
      <c r="J139" s="49">
        <f>+L137*J136</f>
        <v>0</v>
      </c>
      <c r="K139" s="49"/>
      <c r="L139" s="49"/>
      <c r="M139" s="7"/>
      <c r="N139" s="45"/>
      <c r="Q139" s="12"/>
    </row>
    <row r="140" spans="2:17" ht="3.6" customHeight="1">
      <c r="B140" s="68"/>
      <c r="C140" s="14"/>
      <c r="D140" s="14"/>
      <c r="E140" s="14"/>
      <c r="F140" s="14"/>
      <c r="G140" s="14"/>
      <c r="H140" s="14"/>
      <c r="J140" s="25"/>
      <c r="K140" s="25"/>
      <c r="L140" s="25"/>
      <c r="M140" s="7"/>
      <c r="N140" s="45"/>
      <c r="Q140" s="12"/>
    </row>
    <row r="141" spans="2:17" ht="14.25" customHeight="1">
      <c r="B141" s="68"/>
      <c r="C141" s="41" t="s">
        <v>16</v>
      </c>
      <c r="D141" s="41"/>
      <c r="E141" s="41"/>
      <c r="F141" s="41"/>
      <c r="G141" s="41"/>
      <c r="H141" s="42"/>
      <c r="J141" s="43">
        <v>0.7</v>
      </c>
      <c r="K141" s="43"/>
      <c r="L141" s="43"/>
      <c r="M141" s="7"/>
      <c r="N141" s="45"/>
      <c r="Q141" s="12"/>
    </row>
    <row r="142" spans="2:17" ht="14.25" customHeight="1">
      <c r="B142" s="68"/>
      <c r="C142" s="2">
        <v>1</v>
      </c>
      <c r="D142" s="20">
        <v>1</v>
      </c>
      <c r="E142" s="20">
        <v>1</v>
      </c>
      <c r="F142" s="20" t="s">
        <v>15</v>
      </c>
      <c r="G142" s="20" t="s">
        <v>15</v>
      </c>
      <c r="H142" s="20" t="s">
        <v>15</v>
      </c>
      <c r="J142" s="48">
        <f>SUM(C143:H143)</f>
        <v>0</v>
      </c>
      <c r="K142" s="48">
        <f>SUM(C142:H142)</f>
        <v>3</v>
      </c>
      <c r="L142" s="49">
        <f>+J142/K142</f>
        <v>0</v>
      </c>
      <c r="M142" s="7"/>
      <c r="N142" s="45"/>
      <c r="Q142" s="12"/>
    </row>
    <row r="143" spans="2:17" ht="14.25" customHeight="1">
      <c r="B143" s="69"/>
      <c r="C143" s="4"/>
      <c r="D143" s="24"/>
      <c r="E143" s="24"/>
      <c r="F143" s="24"/>
      <c r="G143" s="24"/>
      <c r="H143" s="24"/>
      <c r="J143" s="48"/>
      <c r="K143" s="48"/>
      <c r="L143" s="49"/>
      <c r="M143" s="7"/>
      <c r="N143" s="45"/>
      <c r="Q143" s="12"/>
    </row>
    <row r="144" spans="2:17" ht="14.25" customHeight="1">
      <c r="B144" s="14"/>
      <c r="C144" s="14"/>
      <c r="D144" s="14"/>
      <c r="E144" s="14"/>
      <c r="F144" s="14"/>
      <c r="G144" s="14"/>
      <c r="H144" s="14"/>
      <c r="J144" s="49">
        <f>+L142*J141</f>
        <v>0</v>
      </c>
      <c r="K144" s="49"/>
      <c r="L144" s="49"/>
      <c r="M144" s="7"/>
      <c r="N144" s="46"/>
      <c r="Q144" s="12"/>
    </row>
    <row r="145" spans="2:17" ht="14.25" customHeight="1">
      <c r="B145" s="14"/>
      <c r="C145" s="7"/>
      <c r="D145" s="7"/>
      <c r="E145" s="7"/>
      <c r="F145" s="7"/>
      <c r="G145" s="7"/>
      <c r="H145" s="7"/>
      <c r="I145" s="7"/>
      <c r="J145" s="25"/>
      <c r="K145" s="25"/>
      <c r="L145" s="25"/>
      <c r="M145" s="7"/>
      <c r="N145" s="27"/>
      <c r="Q145" s="12"/>
    </row>
    <row r="146" spans="2:17" ht="14.25" customHeight="1">
      <c r="B146" s="14"/>
      <c r="C146" s="7"/>
      <c r="D146" s="7"/>
      <c r="E146" s="7"/>
      <c r="F146" s="7"/>
      <c r="G146" s="7"/>
      <c r="H146" s="7"/>
      <c r="I146" s="7"/>
      <c r="J146" s="25"/>
      <c r="K146" s="25"/>
      <c r="L146" s="25"/>
      <c r="M146" s="7"/>
      <c r="N146" s="28"/>
      <c r="Q146" s="12"/>
    </row>
    <row r="147" spans="2:17" ht="14.25" customHeight="1">
      <c r="B147" s="37" t="s">
        <v>43</v>
      </c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7"/>
      <c r="N147" s="50">
        <v>0.2</v>
      </c>
      <c r="Q147" s="12"/>
    </row>
    <row r="148" spans="2:17" ht="14.25" customHeight="1">
      <c r="B148" s="14"/>
      <c r="C148" s="7"/>
      <c r="D148" s="7"/>
      <c r="E148" s="7"/>
      <c r="F148" s="7"/>
      <c r="G148" s="7"/>
      <c r="H148" s="7"/>
      <c r="I148" s="7"/>
      <c r="J148" s="25"/>
      <c r="K148" s="25"/>
      <c r="L148" s="25"/>
      <c r="M148" s="7"/>
      <c r="N148" s="50"/>
      <c r="Q148" s="12"/>
    </row>
    <row r="149" spans="2:17" ht="14.25" customHeight="1">
      <c r="C149" s="40" t="s">
        <v>44</v>
      </c>
      <c r="D149" s="41"/>
      <c r="E149" s="41"/>
      <c r="F149" s="41"/>
      <c r="G149" s="41"/>
      <c r="H149" s="42"/>
      <c r="I149" s="7"/>
      <c r="J149" s="43">
        <v>0.45</v>
      </c>
      <c r="K149" s="43"/>
      <c r="L149" s="43"/>
      <c r="M149" s="7"/>
      <c r="N149" s="44">
        <f>+(J152+J157-J162-J167-J172)*N147</f>
        <v>0</v>
      </c>
      <c r="Q149" s="12"/>
    </row>
    <row r="150" spans="2:17" ht="14.25" customHeight="1">
      <c r="B150" s="48" t="s">
        <v>37</v>
      </c>
      <c r="C150" s="55">
        <v>1</v>
      </c>
      <c r="D150" s="84"/>
      <c r="E150" s="84"/>
      <c r="F150" s="84"/>
      <c r="G150" s="84"/>
      <c r="H150" s="63"/>
      <c r="I150" s="7"/>
      <c r="J150" s="48">
        <f>SUM(C151:I151)</f>
        <v>0</v>
      </c>
      <c r="K150" s="48">
        <f>SUM(C150:H150)</f>
        <v>1</v>
      </c>
      <c r="L150" s="49">
        <f>+J150/K150</f>
        <v>0</v>
      </c>
      <c r="M150" s="7"/>
      <c r="N150" s="45"/>
      <c r="Q150" s="12"/>
    </row>
    <row r="151" spans="2:17" ht="14.25" customHeight="1">
      <c r="B151" s="48"/>
      <c r="C151" s="56"/>
      <c r="D151" s="57"/>
      <c r="E151" s="57"/>
      <c r="F151" s="57"/>
      <c r="G151" s="57"/>
      <c r="H151" s="58"/>
      <c r="I151" s="7"/>
      <c r="J151" s="48"/>
      <c r="K151" s="48"/>
      <c r="L151" s="49"/>
      <c r="M151" s="7"/>
      <c r="N151" s="45"/>
      <c r="Q151" s="12"/>
    </row>
    <row r="152" spans="2:17" ht="14.25" customHeight="1">
      <c r="B152" s="14"/>
      <c r="C152" s="7"/>
      <c r="D152" s="7"/>
      <c r="E152" s="7"/>
      <c r="F152" s="7"/>
      <c r="G152" s="7"/>
      <c r="H152" s="7"/>
      <c r="I152" s="7"/>
      <c r="J152" s="49">
        <f>+L150*J149</f>
        <v>0</v>
      </c>
      <c r="K152" s="49"/>
      <c r="L152" s="49"/>
      <c r="M152" s="7"/>
      <c r="N152" s="45"/>
      <c r="Q152" s="12"/>
    </row>
    <row r="153" spans="2:17" ht="3.6" customHeight="1">
      <c r="B153" s="14"/>
      <c r="C153" s="7"/>
      <c r="D153" s="7"/>
      <c r="E153" s="7"/>
      <c r="F153" s="7"/>
      <c r="G153" s="7"/>
      <c r="H153" s="7"/>
      <c r="I153" s="7"/>
      <c r="J153" s="25"/>
      <c r="K153" s="25"/>
      <c r="L153" s="25"/>
      <c r="M153" s="7"/>
      <c r="N153" s="45"/>
      <c r="Q153" s="12"/>
    </row>
    <row r="154" spans="2:17" ht="14.25" customHeight="1">
      <c r="C154" s="40" t="s">
        <v>45</v>
      </c>
      <c r="D154" s="41"/>
      <c r="E154" s="41"/>
      <c r="F154" s="41"/>
      <c r="G154" s="41"/>
      <c r="H154" s="42"/>
      <c r="I154" s="7"/>
      <c r="J154" s="43">
        <v>0.55000000000000004</v>
      </c>
      <c r="K154" s="43"/>
      <c r="L154" s="43"/>
      <c r="M154" s="7"/>
      <c r="N154" s="45"/>
      <c r="Q154" s="12"/>
    </row>
    <row r="155" spans="2:17" ht="14.25" customHeight="1">
      <c r="B155" s="48" t="s">
        <v>39</v>
      </c>
      <c r="C155" s="55">
        <v>1</v>
      </c>
      <c r="D155" s="63"/>
      <c r="E155" s="55">
        <v>1</v>
      </c>
      <c r="F155" s="63"/>
      <c r="G155" s="55">
        <v>1</v>
      </c>
      <c r="H155" s="63"/>
      <c r="I155" s="7"/>
      <c r="J155" s="48">
        <f>SUM(C156:H156)</f>
        <v>0</v>
      </c>
      <c r="K155" s="48">
        <f>SUM(C155:H155)</f>
        <v>3</v>
      </c>
      <c r="L155" s="49">
        <f>+J155/K155</f>
        <v>0</v>
      </c>
      <c r="M155" s="7"/>
      <c r="N155" s="45"/>
      <c r="Q155" s="12"/>
    </row>
    <row r="156" spans="2:17" ht="15" customHeight="1">
      <c r="B156" s="48"/>
      <c r="C156" s="56"/>
      <c r="D156" s="58"/>
      <c r="E156" s="56"/>
      <c r="F156" s="58"/>
      <c r="G156" s="109"/>
      <c r="H156" s="89"/>
      <c r="I156" s="7"/>
      <c r="J156" s="48"/>
      <c r="K156" s="48"/>
      <c r="L156" s="49"/>
      <c r="N156" s="45"/>
      <c r="Q156" s="12"/>
    </row>
    <row r="157" spans="2:17" ht="15" customHeight="1">
      <c r="B157" s="14"/>
      <c r="C157" s="7"/>
      <c r="D157" s="7"/>
      <c r="E157" s="7"/>
      <c r="F157" s="7"/>
      <c r="G157" s="7"/>
      <c r="H157" s="7"/>
      <c r="I157" s="7"/>
      <c r="J157" s="49">
        <f>+L155*J154</f>
        <v>0</v>
      </c>
      <c r="K157" s="49"/>
      <c r="L157" s="49"/>
      <c r="N157" s="45"/>
    </row>
    <row r="158" spans="2:17" ht="3.6" customHeight="1">
      <c r="B158" s="14"/>
      <c r="C158" s="7"/>
      <c r="D158" s="7"/>
      <c r="E158" s="7"/>
      <c r="F158" s="7"/>
      <c r="G158" s="7"/>
      <c r="H158" s="7"/>
      <c r="I158" s="7"/>
      <c r="J158" s="25"/>
      <c r="K158" s="25"/>
      <c r="L158" s="25"/>
      <c r="N158" s="45"/>
    </row>
    <row r="159" spans="2:17" ht="14.45" customHeight="1">
      <c r="C159" s="40" t="s">
        <v>46</v>
      </c>
      <c r="D159" s="41"/>
      <c r="E159" s="41"/>
      <c r="F159" s="41"/>
      <c r="G159" s="41"/>
      <c r="H159" s="42"/>
      <c r="I159" s="7"/>
      <c r="J159" s="43">
        <v>0.25</v>
      </c>
      <c r="K159" s="43"/>
      <c r="L159" s="43"/>
      <c r="N159" s="45"/>
      <c r="Q159" s="12"/>
    </row>
    <row r="160" spans="2:17" ht="14.45" customHeight="1">
      <c r="B160" s="48" t="s">
        <v>12</v>
      </c>
      <c r="C160" s="20">
        <v>1</v>
      </c>
      <c r="D160" s="20">
        <v>1</v>
      </c>
      <c r="E160" s="20">
        <v>1</v>
      </c>
      <c r="F160" s="20">
        <v>1</v>
      </c>
      <c r="G160" s="20">
        <v>1</v>
      </c>
      <c r="H160" s="20">
        <v>1</v>
      </c>
      <c r="I160" s="7"/>
      <c r="J160" s="48">
        <f>SUM(C161:H161)</f>
        <v>0</v>
      </c>
      <c r="K160" s="48">
        <f>SUM(C160:H160)</f>
        <v>6</v>
      </c>
      <c r="L160" s="49">
        <f>+J160/K160</f>
        <v>0</v>
      </c>
      <c r="N160" s="45"/>
      <c r="Q160" s="12"/>
    </row>
    <row r="161" spans="2:17" ht="14.45" customHeight="1">
      <c r="B161" s="48"/>
      <c r="C161" s="24"/>
      <c r="D161" s="24"/>
      <c r="E161" s="24"/>
      <c r="F161" s="24"/>
      <c r="G161" s="24"/>
      <c r="H161" s="24"/>
      <c r="I161" s="7"/>
      <c r="J161" s="48"/>
      <c r="K161" s="48"/>
      <c r="L161" s="49"/>
      <c r="N161" s="45"/>
      <c r="Q161" s="12"/>
    </row>
    <row r="162" spans="2:17" ht="14.45" customHeight="1">
      <c r="B162" s="14"/>
      <c r="C162" s="7"/>
      <c r="D162" s="7"/>
      <c r="E162" s="7"/>
      <c r="F162" s="7"/>
      <c r="G162" s="7"/>
      <c r="H162" s="7"/>
      <c r="I162" s="7"/>
      <c r="J162" s="49">
        <f>+L160*J159</f>
        <v>0</v>
      </c>
      <c r="K162" s="49"/>
      <c r="L162" s="49"/>
      <c r="N162" s="45"/>
      <c r="Q162" s="12"/>
    </row>
    <row r="163" spans="2:17" ht="3.6" customHeight="1">
      <c r="B163" s="14"/>
      <c r="C163" s="7"/>
      <c r="D163" s="7"/>
      <c r="E163" s="7"/>
      <c r="F163" s="7"/>
      <c r="G163" s="7"/>
      <c r="H163" s="7"/>
      <c r="I163" s="7"/>
      <c r="J163" s="25"/>
      <c r="K163" s="25"/>
      <c r="L163" s="25"/>
      <c r="N163" s="45"/>
      <c r="Q163" s="12"/>
    </row>
    <row r="164" spans="2:17" ht="18.600000000000001" customHeight="1">
      <c r="C164" s="40" t="s">
        <v>13</v>
      </c>
      <c r="D164" s="41"/>
      <c r="E164" s="41"/>
      <c r="F164" s="41"/>
      <c r="G164" s="41"/>
      <c r="H164" s="42"/>
      <c r="J164" s="43">
        <v>0.3</v>
      </c>
      <c r="K164" s="43"/>
      <c r="L164" s="43"/>
      <c r="N164" s="45"/>
      <c r="Q164" s="12"/>
    </row>
    <row r="165" spans="2:17" ht="18.600000000000001" customHeight="1">
      <c r="B165" s="67" t="s">
        <v>14</v>
      </c>
      <c r="C165" s="2">
        <v>1</v>
      </c>
      <c r="D165" s="20">
        <v>1</v>
      </c>
      <c r="E165" s="20">
        <v>1</v>
      </c>
      <c r="F165" s="20" t="s">
        <v>15</v>
      </c>
      <c r="G165" s="20" t="s">
        <v>15</v>
      </c>
      <c r="H165" s="20" t="s">
        <v>15</v>
      </c>
      <c r="J165" s="48">
        <f>SUM(C166:H166)</f>
        <v>0</v>
      </c>
      <c r="K165" s="48">
        <f>SUM(C165:H165)</f>
        <v>3</v>
      </c>
      <c r="L165" s="49">
        <f>+J165/K165</f>
        <v>0</v>
      </c>
      <c r="N165" s="45"/>
      <c r="Q165" s="12"/>
    </row>
    <row r="166" spans="2:17" ht="18.600000000000001" customHeight="1">
      <c r="B166" s="68"/>
      <c r="C166" s="4"/>
      <c r="D166" s="24"/>
      <c r="E166" s="24"/>
      <c r="F166" s="24"/>
      <c r="G166" s="24"/>
      <c r="H166" s="24"/>
      <c r="J166" s="48"/>
      <c r="K166" s="48"/>
      <c r="L166" s="49"/>
      <c r="N166" s="45"/>
      <c r="Q166" s="12"/>
    </row>
    <row r="167" spans="2:17" ht="18.600000000000001" customHeight="1">
      <c r="B167" s="68"/>
      <c r="C167" s="14"/>
      <c r="D167" s="14"/>
      <c r="E167" s="14"/>
      <c r="F167" s="14"/>
      <c r="G167" s="14"/>
      <c r="H167" s="14"/>
      <c r="J167" s="49">
        <f>+L165*J164</f>
        <v>0</v>
      </c>
      <c r="K167" s="49"/>
      <c r="L167" s="49"/>
      <c r="N167" s="45"/>
      <c r="Q167" s="12"/>
    </row>
    <row r="168" spans="2:17" ht="3.6" customHeight="1">
      <c r="B168" s="68"/>
      <c r="C168" s="14"/>
      <c r="D168" s="14"/>
      <c r="E168" s="14"/>
      <c r="F168" s="14"/>
      <c r="G168" s="14"/>
      <c r="H168" s="14"/>
      <c r="J168" s="25"/>
      <c r="K168" s="25"/>
      <c r="L168" s="25"/>
      <c r="N168" s="45"/>
      <c r="Q168" s="12"/>
    </row>
    <row r="169" spans="2:17" ht="18.600000000000001" customHeight="1">
      <c r="B169" s="68"/>
      <c r="C169" s="41" t="s">
        <v>16</v>
      </c>
      <c r="D169" s="41"/>
      <c r="E169" s="41"/>
      <c r="F169" s="41"/>
      <c r="G169" s="41"/>
      <c r="H169" s="42"/>
      <c r="J169" s="43">
        <v>0.7</v>
      </c>
      <c r="K169" s="43"/>
      <c r="L169" s="43"/>
      <c r="N169" s="45"/>
      <c r="Q169" s="12"/>
    </row>
    <row r="170" spans="2:17" ht="18.600000000000001" customHeight="1">
      <c r="B170" s="68"/>
      <c r="C170" s="2">
        <v>1</v>
      </c>
      <c r="D170" s="20">
        <v>1</v>
      </c>
      <c r="E170" s="20">
        <v>1</v>
      </c>
      <c r="F170" s="20" t="s">
        <v>15</v>
      </c>
      <c r="G170" s="20" t="s">
        <v>15</v>
      </c>
      <c r="H170" s="20" t="s">
        <v>15</v>
      </c>
      <c r="J170" s="48">
        <f>SUM(C171:H171)</f>
        <v>0</v>
      </c>
      <c r="K170" s="48">
        <f>SUM(C170:H170)</f>
        <v>3</v>
      </c>
      <c r="L170" s="49">
        <f>+J170/K170</f>
        <v>0</v>
      </c>
      <c r="N170" s="45"/>
      <c r="Q170" s="12"/>
    </row>
    <row r="171" spans="2:17" ht="18.600000000000001" customHeight="1">
      <c r="B171" s="69"/>
      <c r="C171" s="4"/>
      <c r="D171" s="24"/>
      <c r="E171" s="24"/>
      <c r="F171" s="24"/>
      <c r="G171" s="24"/>
      <c r="H171" s="24"/>
      <c r="J171" s="48"/>
      <c r="K171" s="48"/>
      <c r="L171" s="49"/>
      <c r="N171" s="45"/>
      <c r="Q171" s="12"/>
    </row>
    <row r="172" spans="2:17" ht="18.600000000000001" customHeight="1">
      <c r="B172" s="14"/>
      <c r="C172" s="14"/>
      <c r="D172" s="14"/>
      <c r="E172" s="14"/>
      <c r="F172" s="14"/>
      <c r="G172" s="14"/>
      <c r="H172" s="14"/>
      <c r="J172" s="49">
        <f>+L170*J169</f>
        <v>0</v>
      </c>
      <c r="K172" s="49"/>
      <c r="L172" s="49"/>
      <c r="N172" s="46"/>
      <c r="Q172" s="12"/>
    </row>
    <row r="173" spans="2:17" ht="18.600000000000001" customHeight="1">
      <c r="B173" s="14"/>
      <c r="C173" s="14"/>
      <c r="D173" s="14"/>
      <c r="E173" s="14"/>
      <c r="F173" s="14"/>
      <c r="G173" s="14"/>
      <c r="H173" s="14"/>
      <c r="J173" s="111"/>
      <c r="K173" s="111"/>
      <c r="L173" s="111"/>
      <c r="N173" s="112"/>
      <c r="Q173" s="12"/>
    </row>
    <row r="174" spans="2:17" ht="18.600000000000001" customHeight="1">
      <c r="B174" s="14"/>
      <c r="C174" s="14"/>
      <c r="D174" s="14"/>
      <c r="E174" s="14"/>
      <c r="F174" s="14"/>
      <c r="G174" s="14"/>
      <c r="H174" s="14"/>
      <c r="J174" s="111"/>
      <c r="K174" s="111"/>
      <c r="L174" s="111"/>
      <c r="N174" s="112"/>
      <c r="Q174" s="12"/>
    </row>
    <row r="175" spans="2:17" ht="18.600000000000001" customHeight="1">
      <c r="B175" s="110" t="s">
        <v>58</v>
      </c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7"/>
      <c r="N175" s="50">
        <v>0.05</v>
      </c>
      <c r="Q175" s="12"/>
    </row>
    <row r="176" spans="2:17" ht="18.600000000000001" customHeight="1">
      <c r="B176" s="14"/>
      <c r="C176" s="7"/>
      <c r="D176" s="7"/>
      <c r="E176" s="7"/>
      <c r="F176" s="7"/>
      <c r="G176" s="7"/>
      <c r="H176" s="7"/>
      <c r="I176" s="7"/>
      <c r="J176" s="25"/>
      <c r="K176" s="25"/>
      <c r="L176" s="25"/>
      <c r="M176" s="7"/>
      <c r="N176" s="38"/>
      <c r="Q176" s="12"/>
    </row>
    <row r="177" spans="2:17" ht="18.600000000000001" customHeight="1">
      <c r="C177" s="40" t="s">
        <v>59</v>
      </c>
      <c r="D177" s="41"/>
      <c r="E177" s="41"/>
      <c r="F177" s="41"/>
      <c r="G177" s="41"/>
      <c r="H177" s="42"/>
      <c r="I177" s="7"/>
      <c r="J177" s="113">
        <v>1</v>
      </c>
      <c r="K177" s="113"/>
      <c r="L177" s="113"/>
      <c r="M177" s="7"/>
      <c r="N177" s="44">
        <f>(J180-J185-J190-J195)*N175</f>
        <v>0</v>
      </c>
      <c r="Q177" s="12"/>
    </row>
    <row r="178" spans="2:17" ht="18.600000000000001" customHeight="1">
      <c r="B178" s="48" t="s">
        <v>34</v>
      </c>
      <c r="C178" s="55">
        <v>1</v>
      </c>
      <c r="D178" s="84"/>
      <c r="E178" s="84"/>
      <c r="F178" s="84"/>
      <c r="G178" s="84"/>
      <c r="H178" s="63"/>
      <c r="I178" s="7"/>
      <c r="J178" s="48">
        <f>+C179</f>
        <v>0</v>
      </c>
      <c r="K178" s="48">
        <f>+C178</f>
        <v>1</v>
      </c>
      <c r="L178" s="49">
        <f>+J178/K178</f>
        <v>0</v>
      </c>
      <c r="M178" s="7"/>
      <c r="N178" s="45"/>
      <c r="Q178" s="12"/>
    </row>
    <row r="179" spans="2:17" ht="18.600000000000001" customHeight="1">
      <c r="B179" s="48"/>
      <c r="C179" s="56"/>
      <c r="D179" s="57"/>
      <c r="E179" s="57"/>
      <c r="F179" s="57"/>
      <c r="G179" s="57"/>
      <c r="H179" s="58"/>
      <c r="I179" s="7"/>
      <c r="J179" s="48"/>
      <c r="K179" s="48"/>
      <c r="L179" s="49"/>
      <c r="M179" s="7"/>
      <c r="N179" s="45"/>
      <c r="Q179" s="12"/>
    </row>
    <row r="180" spans="2:17" ht="18.600000000000001" customHeight="1">
      <c r="B180" s="14"/>
      <c r="C180" s="7"/>
      <c r="D180" s="7"/>
      <c r="E180" s="7"/>
      <c r="F180" s="7"/>
      <c r="G180" s="7"/>
      <c r="H180" s="7"/>
      <c r="I180" s="7"/>
      <c r="J180" s="49">
        <f>+L178*J177</f>
        <v>0</v>
      </c>
      <c r="K180" s="49"/>
      <c r="L180" s="49"/>
      <c r="M180" s="7"/>
      <c r="N180" s="45"/>
      <c r="Q180" s="12"/>
    </row>
    <row r="181" spans="2:17" ht="3" customHeight="1">
      <c r="B181" s="14"/>
      <c r="C181" s="7"/>
      <c r="D181" s="7"/>
      <c r="E181" s="7"/>
      <c r="F181" s="7"/>
      <c r="G181" s="7"/>
      <c r="H181" s="7"/>
      <c r="I181" s="7"/>
      <c r="J181" s="111"/>
      <c r="K181" s="111"/>
      <c r="L181" s="111"/>
      <c r="M181" s="7"/>
      <c r="N181" s="45"/>
      <c r="Q181" s="12"/>
    </row>
    <row r="182" spans="2:17" ht="18.600000000000001" customHeight="1">
      <c r="C182" s="40" t="s">
        <v>46</v>
      </c>
      <c r="D182" s="41"/>
      <c r="E182" s="41"/>
      <c r="F182" s="41"/>
      <c r="G182" s="41"/>
      <c r="H182" s="42"/>
      <c r="I182" s="7"/>
      <c r="J182" s="43">
        <v>0.25</v>
      </c>
      <c r="K182" s="43"/>
      <c r="L182" s="43"/>
      <c r="M182" s="7"/>
      <c r="N182" s="45"/>
      <c r="Q182" s="12"/>
    </row>
    <row r="183" spans="2:17" ht="18.600000000000001" customHeight="1">
      <c r="B183" s="48" t="s">
        <v>12</v>
      </c>
      <c r="C183" s="34">
        <v>1</v>
      </c>
      <c r="D183" s="34">
        <v>1</v>
      </c>
      <c r="E183" s="34">
        <v>1</v>
      </c>
      <c r="F183" s="34">
        <v>1</v>
      </c>
      <c r="G183" s="34">
        <v>1</v>
      </c>
      <c r="H183" s="34">
        <v>1</v>
      </c>
      <c r="I183" s="7"/>
      <c r="J183" s="48">
        <f>SUM(C184:H184)</f>
        <v>0</v>
      </c>
      <c r="K183" s="48">
        <f>SUM(C183:H183)</f>
        <v>6</v>
      </c>
      <c r="L183" s="49">
        <f>+J183/K183</f>
        <v>0</v>
      </c>
      <c r="M183" s="7"/>
      <c r="N183" s="45"/>
      <c r="Q183" s="12"/>
    </row>
    <row r="184" spans="2:17" ht="18.600000000000001" customHeight="1">
      <c r="B184" s="48"/>
      <c r="C184" s="24"/>
      <c r="D184" s="24"/>
      <c r="E184" s="24"/>
      <c r="F184" s="24"/>
      <c r="G184" s="24"/>
      <c r="H184" s="24"/>
      <c r="I184" s="7"/>
      <c r="J184" s="48"/>
      <c r="K184" s="48"/>
      <c r="L184" s="49"/>
      <c r="M184" s="7"/>
      <c r="N184" s="45"/>
      <c r="Q184" s="12"/>
    </row>
    <row r="185" spans="2:17" ht="18.600000000000001" customHeight="1">
      <c r="B185" s="14"/>
      <c r="C185" s="7"/>
      <c r="D185" s="7"/>
      <c r="E185" s="7"/>
      <c r="F185" s="7"/>
      <c r="G185" s="7"/>
      <c r="H185" s="7"/>
      <c r="I185" s="7"/>
      <c r="J185" s="49">
        <f>+L183*J182</f>
        <v>0</v>
      </c>
      <c r="K185" s="49"/>
      <c r="L185" s="49"/>
      <c r="M185" s="7"/>
      <c r="N185" s="45"/>
      <c r="Q185" s="12"/>
    </row>
    <row r="186" spans="2:17" ht="3" customHeight="1">
      <c r="B186" s="14"/>
      <c r="C186" s="7"/>
      <c r="D186" s="7"/>
      <c r="E186" s="7"/>
      <c r="F186" s="7"/>
      <c r="G186" s="7"/>
      <c r="H186" s="7"/>
      <c r="I186" s="7"/>
      <c r="J186" s="25"/>
      <c r="K186" s="25"/>
      <c r="L186" s="25"/>
      <c r="M186" s="7"/>
      <c r="N186" s="45"/>
      <c r="Q186" s="12"/>
    </row>
    <row r="187" spans="2:17" ht="18.600000000000001" customHeight="1">
      <c r="C187" s="40" t="s">
        <v>13</v>
      </c>
      <c r="D187" s="41"/>
      <c r="E187" s="41"/>
      <c r="F187" s="41"/>
      <c r="G187" s="41"/>
      <c r="H187" s="42"/>
      <c r="J187" s="43">
        <v>0.3</v>
      </c>
      <c r="K187" s="43"/>
      <c r="L187" s="43"/>
      <c r="M187" s="7"/>
      <c r="N187" s="45"/>
      <c r="Q187" s="12"/>
    </row>
    <row r="188" spans="2:17" ht="18.600000000000001" customHeight="1">
      <c r="B188" s="67" t="s">
        <v>14</v>
      </c>
      <c r="C188" s="35">
        <v>1</v>
      </c>
      <c r="D188" s="34">
        <v>1</v>
      </c>
      <c r="E188" s="34">
        <v>1</v>
      </c>
      <c r="F188" s="34" t="s">
        <v>15</v>
      </c>
      <c r="G188" s="34" t="s">
        <v>15</v>
      </c>
      <c r="H188" s="34" t="s">
        <v>15</v>
      </c>
      <c r="J188" s="48">
        <f>SUM(C189:H189)</f>
        <v>0</v>
      </c>
      <c r="K188" s="48">
        <f>SUM(C188:H188)</f>
        <v>3</v>
      </c>
      <c r="L188" s="49">
        <f>+J188/K188</f>
        <v>0</v>
      </c>
      <c r="M188" s="7"/>
      <c r="N188" s="45"/>
      <c r="Q188" s="12"/>
    </row>
    <row r="189" spans="2:17" ht="18.600000000000001" customHeight="1">
      <c r="B189" s="68"/>
      <c r="C189" s="36"/>
      <c r="D189" s="24"/>
      <c r="E189" s="24"/>
      <c r="F189" s="24"/>
      <c r="G189" s="24"/>
      <c r="H189" s="24"/>
      <c r="J189" s="48"/>
      <c r="K189" s="48"/>
      <c r="L189" s="49"/>
      <c r="M189" s="7"/>
      <c r="N189" s="45"/>
      <c r="Q189" s="12"/>
    </row>
    <row r="190" spans="2:17" ht="18.600000000000001" customHeight="1">
      <c r="B190" s="68"/>
      <c r="C190" s="14"/>
      <c r="D190" s="14"/>
      <c r="E190" s="14"/>
      <c r="F190" s="14"/>
      <c r="G190" s="14"/>
      <c r="H190" s="14"/>
      <c r="J190" s="49">
        <f>+L188*J187</f>
        <v>0</v>
      </c>
      <c r="K190" s="49"/>
      <c r="L190" s="49"/>
      <c r="M190" s="7"/>
      <c r="N190" s="45"/>
      <c r="Q190" s="12"/>
    </row>
    <row r="191" spans="2:17" ht="3" customHeight="1">
      <c r="B191" s="68"/>
      <c r="C191" s="14"/>
      <c r="D191" s="14"/>
      <c r="E191" s="14"/>
      <c r="F191" s="14"/>
      <c r="G191" s="14"/>
      <c r="H191" s="14"/>
      <c r="J191" s="25"/>
      <c r="K191" s="25"/>
      <c r="L191" s="25"/>
      <c r="M191" s="7"/>
      <c r="N191" s="45"/>
      <c r="Q191" s="12"/>
    </row>
    <row r="192" spans="2:17" ht="18.600000000000001" customHeight="1">
      <c r="B192" s="68"/>
      <c r="C192" s="41" t="s">
        <v>16</v>
      </c>
      <c r="D192" s="41"/>
      <c r="E192" s="41"/>
      <c r="F192" s="41"/>
      <c r="G192" s="41"/>
      <c r="H192" s="42"/>
      <c r="J192" s="43">
        <v>0.7</v>
      </c>
      <c r="K192" s="43"/>
      <c r="L192" s="43"/>
      <c r="M192" s="7"/>
      <c r="N192" s="45"/>
      <c r="Q192" s="12"/>
    </row>
    <row r="193" spans="2:17" ht="18.600000000000001" customHeight="1">
      <c r="B193" s="68"/>
      <c r="C193" s="35">
        <v>1</v>
      </c>
      <c r="D193" s="34">
        <v>1</v>
      </c>
      <c r="E193" s="34">
        <v>1</v>
      </c>
      <c r="F193" s="34" t="s">
        <v>15</v>
      </c>
      <c r="G193" s="34" t="s">
        <v>15</v>
      </c>
      <c r="H193" s="34" t="s">
        <v>15</v>
      </c>
      <c r="J193" s="48">
        <f>SUM(C194:H194)</f>
        <v>0</v>
      </c>
      <c r="K193" s="48">
        <f>SUM(C193:H193)</f>
        <v>3</v>
      </c>
      <c r="L193" s="49">
        <f>+J193/K193</f>
        <v>0</v>
      </c>
      <c r="M193" s="7"/>
      <c r="N193" s="45"/>
      <c r="Q193" s="12"/>
    </row>
    <row r="194" spans="2:17" ht="18.600000000000001" customHeight="1">
      <c r="B194" s="69"/>
      <c r="C194" s="36"/>
      <c r="D194" s="24"/>
      <c r="E194" s="24"/>
      <c r="F194" s="24"/>
      <c r="G194" s="24"/>
      <c r="H194" s="24"/>
      <c r="J194" s="48"/>
      <c r="K194" s="48"/>
      <c r="L194" s="49"/>
      <c r="M194" s="7"/>
      <c r="N194" s="45"/>
      <c r="Q194" s="12"/>
    </row>
    <row r="195" spans="2:17" ht="18.600000000000001" customHeight="1">
      <c r="B195" s="14"/>
      <c r="C195" s="14"/>
      <c r="D195" s="14"/>
      <c r="E195" s="14"/>
      <c r="F195" s="14"/>
      <c r="G195" s="14"/>
      <c r="H195" s="14"/>
      <c r="J195" s="49">
        <f>+L193*J192</f>
        <v>0</v>
      </c>
      <c r="K195" s="49"/>
      <c r="L195" s="49"/>
      <c r="M195" s="7"/>
      <c r="N195" s="46"/>
      <c r="Q195" s="12"/>
    </row>
    <row r="196" spans="2:17" ht="18.600000000000001" customHeight="1">
      <c r="B196" s="14"/>
      <c r="C196" s="7"/>
      <c r="D196" s="7"/>
      <c r="E196" s="7"/>
      <c r="F196" s="7"/>
      <c r="G196" s="7"/>
      <c r="H196" s="7"/>
      <c r="I196" s="7"/>
      <c r="J196" s="111"/>
      <c r="K196" s="111"/>
      <c r="L196" s="111"/>
      <c r="M196" s="7"/>
      <c r="N196" s="112"/>
      <c r="Q196" s="12"/>
    </row>
    <row r="197" spans="2:17" ht="18.600000000000001" customHeight="1">
      <c r="B197" s="14"/>
      <c r="C197" s="7"/>
      <c r="D197" s="7"/>
      <c r="E197" s="7"/>
      <c r="F197" s="7"/>
      <c r="G197" s="7"/>
      <c r="H197" s="7"/>
      <c r="I197" s="7"/>
      <c r="J197" s="111"/>
      <c r="K197" s="111"/>
      <c r="L197" s="111"/>
      <c r="M197" s="7"/>
      <c r="N197" s="112"/>
      <c r="Q197" s="12"/>
    </row>
    <row r="198" spans="2:17" ht="15.75">
      <c r="B198" s="37" t="s">
        <v>47</v>
      </c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N198" s="38">
        <v>-0.1</v>
      </c>
      <c r="Q198" s="12"/>
    </row>
    <row r="199" spans="2:17">
      <c r="B199" s="14"/>
      <c r="C199" s="7"/>
      <c r="D199" s="7"/>
      <c r="E199" s="7"/>
      <c r="F199" s="7"/>
      <c r="G199" s="7"/>
      <c r="H199" s="7"/>
      <c r="I199" s="7"/>
      <c r="J199" s="25"/>
      <c r="K199" s="25"/>
      <c r="L199" s="25"/>
      <c r="N199" s="39"/>
      <c r="Q199" s="12"/>
    </row>
    <row r="200" spans="2:17">
      <c r="C200" s="40" t="s">
        <v>48</v>
      </c>
      <c r="D200" s="41"/>
      <c r="E200" s="41"/>
      <c r="F200" s="41"/>
      <c r="G200" s="41"/>
      <c r="H200" s="42"/>
      <c r="I200" s="7"/>
      <c r="J200" s="43">
        <v>1</v>
      </c>
      <c r="K200" s="43"/>
      <c r="L200" s="43"/>
      <c r="N200" s="44">
        <f>+(J203)*N198</f>
        <v>0</v>
      </c>
      <c r="Q200" s="12"/>
    </row>
    <row r="201" spans="2:17">
      <c r="B201" s="48" t="s">
        <v>49</v>
      </c>
      <c r="C201" s="20">
        <v>1</v>
      </c>
      <c r="D201" s="20"/>
      <c r="E201" s="20"/>
      <c r="F201" s="20"/>
      <c r="G201" s="20" t="s">
        <v>15</v>
      </c>
      <c r="H201" s="20" t="s">
        <v>15</v>
      </c>
      <c r="I201" s="7"/>
      <c r="J201" s="48">
        <f>SUM(C202:I202)</f>
        <v>0</v>
      </c>
      <c r="K201" s="48">
        <f>SUM(C201:H201)</f>
        <v>1</v>
      </c>
      <c r="L201" s="49">
        <f>+J201/K201</f>
        <v>0</v>
      </c>
      <c r="N201" s="45"/>
      <c r="Q201" s="12"/>
    </row>
    <row r="202" spans="2:17">
      <c r="B202" s="48"/>
      <c r="C202" s="24"/>
      <c r="D202" s="24"/>
      <c r="E202" s="24"/>
      <c r="F202" s="24"/>
      <c r="G202" s="24"/>
      <c r="H202" s="24"/>
      <c r="I202" s="7"/>
      <c r="J202" s="48"/>
      <c r="K202" s="48"/>
      <c r="L202" s="49"/>
      <c r="N202" s="45"/>
      <c r="Q202" s="12"/>
    </row>
    <row r="203" spans="2:17">
      <c r="B203" s="14"/>
      <c r="C203" s="7"/>
      <c r="D203" s="7"/>
      <c r="E203" s="7"/>
      <c r="F203" s="7"/>
      <c r="G203" s="7"/>
      <c r="H203" s="7"/>
      <c r="I203" s="7"/>
      <c r="J203" s="49">
        <f>+L201*J200</f>
        <v>0</v>
      </c>
      <c r="K203" s="49"/>
      <c r="L203" s="49"/>
      <c r="N203" s="46"/>
      <c r="Q203" s="12"/>
    </row>
    <row r="204" spans="2:17" ht="3.6" customHeight="1">
      <c r="B204" s="14"/>
      <c r="C204" s="7"/>
      <c r="D204" s="7"/>
      <c r="E204" s="7"/>
      <c r="F204" s="7"/>
      <c r="G204" s="7"/>
      <c r="H204" s="7"/>
      <c r="I204" s="7"/>
      <c r="J204" s="25"/>
      <c r="K204" s="25"/>
      <c r="L204" s="25"/>
      <c r="N204" s="27"/>
      <c r="Q204" s="12"/>
    </row>
    <row r="205" spans="2:17">
      <c r="B205" s="14"/>
      <c r="C205" s="7"/>
      <c r="D205" s="7"/>
      <c r="E205" s="7"/>
      <c r="F205" s="7"/>
      <c r="G205" s="7"/>
      <c r="H205" s="7"/>
      <c r="I205" s="7"/>
      <c r="J205" s="25"/>
      <c r="K205" s="25"/>
      <c r="L205" s="25"/>
      <c r="M205" s="7"/>
      <c r="N205" s="50">
        <v>0.1</v>
      </c>
      <c r="Q205" s="12"/>
    </row>
    <row r="206" spans="2:17" ht="4.5" customHeight="1">
      <c r="B206" s="14"/>
      <c r="C206" s="7"/>
      <c r="D206" s="7"/>
      <c r="E206" s="7"/>
      <c r="F206" s="7"/>
      <c r="G206" s="7"/>
      <c r="H206" s="7"/>
      <c r="I206" s="7"/>
      <c r="J206" s="25"/>
      <c r="K206" s="25"/>
      <c r="L206" s="25"/>
      <c r="M206" s="7"/>
      <c r="N206" s="50"/>
      <c r="Q206" s="12"/>
    </row>
    <row r="207" spans="2:17" s="6" customFormat="1" ht="19.5" customHeight="1">
      <c r="C207" s="59" t="s">
        <v>30</v>
      </c>
      <c r="D207" s="59"/>
      <c r="E207" s="41" t="s">
        <v>31</v>
      </c>
      <c r="F207" s="41"/>
      <c r="G207" s="41"/>
      <c r="H207" s="42"/>
      <c r="I207" s="7"/>
      <c r="J207" s="43">
        <v>0.5</v>
      </c>
      <c r="K207" s="43"/>
      <c r="L207" s="43"/>
      <c r="M207" s="7"/>
      <c r="N207" s="44">
        <f>+(J210+J215-J220-J225-J230)*N205</f>
        <v>0</v>
      </c>
    </row>
    <row r="208" spans="2:17" ht="15" customHeight="1">
      <c r="B208" s="48" t="s">
        <v>32</v>
      </c>
      <c r="C208" s="1">
        <v>1</v>
      </c>
      <c r="D208" s="20">
        <v>1</v>
      </c>
      <c r="E208" s="20">
        <v>1</v>
      </c>
      <c r="F208" s="20">
        <v>1</v>
      </c>
      <c r="G208" s="20">
        <v>1</v>
      </c>
      <c r="H208" s="20">
        <v>1</v>
      </c>
      <c r="I208" s="7"/>
      <c r="J208" s="48">
        <f>SUM(C209:I209)</f>
        <v>0</v>
      </c>
      <c r="K208" s="48">
        <f>SUM(C208:H208)</f>
        <v>6</v>
      </c>
      <c r="L208" s="49">
        <f>+J208/K208</f>
        <v>0</v>
      </c>
      <c r="M208" s="7"/>
      <c r="N208" s="45"/>
      <c r="Q208" s="12"/>
    </row>
    <row r="209" spans="2:17" ht="15" customHeight="1">
      <c r="B209" s="48"/>
      <c r="C209" s="3"/>
      <c r="D209" s="5"/>
      <c r="E209" s="29"/>
      <c r="F209" s="29"/>
      <c r="G209" s="29"/>
      <c r="H209" s="29"/>
      <c r="I209" s="7"/>
      <c r="J209" s="48"/>
      <c r="K209" s="48"/>
      <c r="L209" s="49"/>
      <c r="M209" s="7"/>
      <c r="N209" s="45"/>
      <c r="Q209" s="12"/>
    </row>
    <row r="210" spans="2:17" ht="15" customHeight="1">
      <c r="B210" s="14"/>
      <c r="C210" s="7"/>
      <c r="D210" s="7"/>
      <c r="E210" s="7"/>
      <c r="F210" s="7"/>
      <c r="G210" s="7"/>
      <c r="H210" s="7"/>
      <c r="I210" s="7"/>
      <c r="J210" s="49">
        <f>+L208*J207</f>
        <v>0</v>
      </c>
      <c r="K210" s="49"/>
      <c r="L210" s="49"/>
      <c r="M210" s="7"/>
      <c r="N210" s="45"/>
      <c r="Q210" s="12"/>
    </row>
    <row r="211" spans="2:17" ht="3.6" customHeight="1">
      <c r="B211" s="14"/>
      <c r="C211" s="7"/>
      <c r="D211" s="7"/>
      <c r="E211" s="7"/>
      <c r="F211" s="7"/>
      <c r="G211" s="7"/>
      <c r="H211" s="7"/>
      <c r="I211" s="7"/>
      <c r="J211" s="25"/>
      <c r="K211" s="25"/>
      <c r="L211" s="25"/>
      <c r="M211" s="7"/>
      <c r="N211" s="45"/>
      <c r="Q211" s="12"/>
    </row>
    <row r="212" spans="2:17" ht="15" customHeight="1">
      <c r="C212" s="40" t="s">
        <v>50</v>
      </c>
      <c r="D212" s="41"/>
      <c r="E212" s="41"/>
      <c r="F212" s="41"/>
      <c r="G212" s="41"/>
      <c r="H212" s="42"/>
      <c r="I212" s="7"/>
      <c r="J212" s="43">
        <v>0.5</v>
      </c>
      <c r="K212" s="43"/>
      <c r="L212" s="43"/>
      <c r="M212" s="7"/>
      <c r="N212" s="45"/>
      <c r="Q212" s="12"/>
    </row>
    <row r="213" spans="2:17" ht="15" customHeight="1">
      <c r="B213" s="47" t="s">
        <v>51</v>
      </c>
      <c r="C213" s="1">
        <v>1</v>
      </c>
      <c r="D213" s="20">
        <v>1</v>
      </c>
      <c r="E213" s="20">
        <v>1</v>
      </c>
      <c r="F213" s="20">
        <v>1</v>
      </c>
      <c r="G213" s="20" t="s">
        <v>15</v>
      </c>
      <c r="H213" s="20" t="s">
        <v>15</v>
      </c>
      <c r="I213" s="7"/>
      <c r="J213" s="48">
        <f>SUM(C214:I214)</f>
        <v>0</v>
      </c>
      <c r="K213" s="48">
        <f>SUM(C213:H213)</f>
        <v>4</v>
      </c>
      <c r="L213" s="49">
        <f>+J213/K213</f>
        <v>0</v>
      </c>
      <c r="M213" s="7"/>
      <c r="N213" s="45"/>
      <c r="Q213" s="12"/>
    </row>
    <row r="214" spans="2:17" ht="15.75" customHeight="1">
      <c r="B214" s="47"/>
      <c r="C214" s="3"/>
      <c r="D214" s="24"/>
      <c r="E214" s="24"/>
      <c r="F214" s="24"/>
      <c r="G214" s="29" t="s">
        <v>15</v>
      </c>
      <c r="H214" s="29" t="s">
        <v>15</v>
      </c>
      <c r="I214" s="7"/>
      <c r="J214" s="48"/>
      <c r="K214" s="48"/>
      <c r="L214" s="49"/>
      <c r="M214" s="7"/>
      <c r="N214" s="45"/>
      <c r="Q214" s="12"/>
    </row>
    <row r="215" spans="2:17" ht="15" customHeight="1">
      <c r="B215" s="14"/>
      <c r="C215" s="7"/>
      <c r="D215" s="7"/>
      <c r="E215" s="7"/>
      <c r="F215" s="7"/>
      <c r="G215" s="7"/>
      <c r="H215" s="7"/>
      <c r="I215" s="7"/>
      <c r="J215" s="49">
        <f>+L213*J212</f>
        <v>0</v>
      </c>
      <c r="K215" s="49"/>
      <c r="L215" s="49"/>
      <c r="M215" s="7"/>
      <c r="N215" s="45"/>
      <c r="Q215" s="12"/>
    </row>
    <row r="216" spans="2:17" ht="3.6" customHeight="1">
      <c r="B216" s="14"/>
      <c r="C216" s="7"/>
      <c r="D216" s="7"/>
      <c r="E216" s="7"/>
      <c r="F216" s="7"/>
      <c r="G216" s="7"/>
      <c r="H216" s="7"/>
      <c r="I216" s="7"/>
      <c r="J216" s="25"/>
      <c r="K216" s="25"/>
      <c r="L216" s="25"/>
      <c r="M216" s="7"/>
      <c r="N216" s="45"/>
      <c r="Q216" s="12"/>
    </row>
    <row r="217" spans="2:17" ht="18.75" customHeight="1">
      <c r="C217" s="40" t="s">
        <v>52</v>
      </c>
      <c r="D217" s="41"/>
      <c r="E217" s="41"/>
      <c r="F217" s="41"/>
      <c r="G217" s="41"/>
      <c r="H217" s="42"/>
      <c r="I217" s="7"/>
      <c r="J217" s="43">
        <v>0.25</v>
      </c>
      <c r="K217" s="43"/>
      <c r="L217" s="43"/>
      <c r="N217" s="45"/>
      <c r="Q217" s="12"/>
    </row>
    <row r="218" spans="2:17" ht="18.75" customHeight="1">
      <c r="B218" s="48" t="s">
        <v>12</v>
      </c>
      <c r="C218" s="20">
        <v>1</v>
      </c>
      <c r="D218" s="20">
        <v>1</v>
      </c>
      <c r="E218" s="20">
        <v>1</v>
      </c>
      <c r="F218" s="20">
        <v>1</v>
      </c>
      <c r="G218" s="20">
        <v>1</v>
      </c>
      <c r="H218" s="20">
        <v>1</v>
      </c>
      <c r="I218" s="7"/>
      <c r="J218" s="48">
        <f>SUM(C219:H219)</f>
        <v>0</v>
      </c>
      <c r="K218" s="48">
        <f>SUM(C218:H218)</f>
        <v>6</v>
      </c>
      <c r="L218" s="49">
        <f>+J218/K218</f>
        <v>0</v>
      </c>
      <c r="N218" s="45"/>
      <c r="Q218" s="12"/>
    </row>
    <row r="219" spans="2:17" ht="18.75" customHeight="1">
      <c r="B219" s="48"/>
      <c r="C219" s="24"/>
      <c r="D219" s="24"/>
      <c r="E219" s="24"/>
      <c r="F219" s="24"/>
      <c r="G219" s="24"/>
      <c r="H219" s="24"/>
      <c r="I219" s="7"/>
      <c r="J219" s="48"/>
      <c r="K219" s="48"/>
      <c r="L219" s="49"/>
      <c r="N219" s="45"/>
      <c r="Q219" s="12"/>
    </row>
    <row r="220" spans="2:17" ht="18.75" customHeight="1">
      <c r="B220" s="14"/>
      <c r="C220" s="7"/>
      <c r="D220" s="7"/>
      <c r="E220" s="7"/>
      <c r="F220" s="7"/>
      <c r="G220" s="7"/>
      <c r="H220" s="7"/>
      <c r="I220" s="7"/>
      <c r="J220" s="49">
        <f>+L218*J217</f>
        <v>0</v>
      </c>
      <c r="K220" s="49"/>
      <c r="L220" s="49"/>
      <c r="N220" s="45"/>
      <c r="Q220" s="12"/>
    </row>
    <row r="221" spans="2:17" ht="3.6" customHeight="1">
      <c r="B221" s="14"/>
      <c r="C221" s="7"/>
      <c r="D221" s="7"/>
      <c r="E221" s="7"/>
      <c r="F221" s="7"/>
      <c r="G221" s="7"/>
      <c r="H221" s="7"/>
      <c r="I221" s="7"/>
      <c r="J221" s="25"/>
      <c r="K221" s="25"/>
      <c r="L221" s="25"/>
      <c r="N221" s="45"/>
      <c r="Q221" s="12"/>
    </row>
    <row r="222" spans="2:17" ht="18.75" customHeight="1">
      <c r="C222" s="40" t="s">
        <v>13</v>
      </c>
      <c r="D222" s="41"/>
      <c r="E222" s="41"/>
      <c r="F222" s="41"/>
      <c r="G222" s="41"/>
      <c r="H222" s="42"/>
      <c r="J222" s="43">
        <v>0.3</v>
      </c>
      <c r="K222" s="43"/>
      <c r="L222" s="43"/>
      <c r="N222" s="45"/>
      <c r="Q222" s="12"/>
    </row>
    <row r="223" spans="2:17" ht="18.75" customHeight="1">
      <c r="B223" s="67" t="s">
        <v>14</v>
      </c>
      <c r="C223" s="2">
        <v>1</v>
      </c>
      <c r="D223" s="20" t="s">
        <v>15</v>
      </c>
      <c r="E223" s="20" t="s">
        <v>15</v>
      </c>
      <c r="F223" s="20" t="s">
        <v>15</v>
      </c>
      <c r="G223" s="20" t="s">
        <v>15</v>
      </c>
      <c r="H223" s="20" t="s">
        <v>15</v>
      </c>
      <c r="J223" s="48">
        <f>SUM(C224:H224)</f>
        <v>0</v>
      </c>
      <c r="K223" s="48">
        <f>SUM(C223:H223)</f>
        <v>1</v>
      </c>
      <c r="L223" s="49">
        <f>+J223/K223</f>
        <v>0</v>
      </c>
      <c r="N223" s="45"/>
      <c r="Q223" s="12"/>
    </row>
    <row r="224" spans="2:17" ht="18.75" customHeight="1">
      <c r="B224" s="68"/>
      <c r="C224" s="4"/>
      <c r="D224" s="24"/>
      <c r="E224" s="24"/>
      <c r="F224" s="24"/>
      <c r="G224" s="24"/>
      <c r="H224" s="24"/>
      <c r="J224" s="48"/>
      <c r="K224" s="48"/>
      <c r="L224" s="49"/>
      <c r="N224" s="45"/>
      <c r="Q224" s="12"/>
    </row>
    <row r="225" spans="2:17" ht="18.75" customHeight="1">
      <c r="B225" s="68"/>
      <c r="C225" s="14"/>
      <c r="D225" s="14"/>
      <c r="E225" s="14"/>
      <c r="F225" s="14"/>
      <c r="G225" s="14"/>
      <c r="H225" s="14"/>
      <c r="J225" s="49">
        <f>+L223*J222</f>
        <v>0</v>
      </c>
      <c r="K225" s="49"/>
      <c r="L225" s="49"/>
      <c r="N225" s="45"/>
      <c r="Q225" s="12"/>
    </row>
    <row r="226" spans="2:17" ht="3.6" customHeight="1">
      <c r="B226" s="68"/>
      <c r="C226" s="14"/>
      <c r="D226" s="14"/>
      <c r="E226" s="14"/>
      <c r="F226" s="14"/>
      <c r="G226" s="14"/>
      <c r="H226" s="14"/>
      <c r="J226" s="25"/>
      <c r="K226" s="25"/>
      <c r="L226" s="25"/>
      <c r="N226" s="45"/>
      <c r="Q226" s="12"/>
    </row>
    <row r="227" spans="2:17" ht="18.75" customHeight="1">
      <c r="B227" s="68"/>
      <c r="C227" s="41" t="s">
        <v>16</v>
      </c>
      <c r="D227" s="41"/>
      <c r="E227" s="41"/>
      <c r="F227" s="41"/>
      <c r="G227" s="41"/>
      <c r="H227" s="42"/>
      <c r="J227" s="43">
        <v>0.7</v>
      </c>
      <c r="K227" s="43"/>
      <c r="L227" s="43"/>
      <c r="N227" s="45"/>
      <c r="Q227" s="12"/>
    </row>
    <row r="228" spans="2:17" ht="18.75" customHeight="1">
      <c r="B228" s="68"/>
      <c r="C228" s="2">
        <v>1</v>
      </c>
      <c r="D228" s="20" t="s">
        <v>15</v>
      </c>
      <c r="E228" s="20" t="s">
        <v>15</v>
      </c>
      <c r="F228" s="20" t="s">
        <v>15</v>
      </c>
      <c r="G228" s="20" t="s">
        <v>15</v>
      </c>
      <c r="H228" s="20" t="s">
        <v>15</v>
      </c>
      <c r="J228" s="48">
        <f>SUM(C229:H229)</f>
        <v>0</v>
      </c>
      <c r="K228" s="48">
        <f>SUM(C228:H228)</f>
        <v>1</v>
      </c>
      <c r="L228" s="49">
        <f>+J228/K228</f>
        <v>0</v>
      </c>
      <c r="N228" s="45"/>
      <c r="Q228" s="12"/>
    </row>
    <row r="229" spans="2:17" ht="18.75" customHeight="1">
      <c r="B229" s="69"/>
      <c r="C229" s="4"/>
      <c r="D229" s="24"/>
      <c r="E229" s="24"/>
      <c r="F229" s="24"/>
      <c r="G229" s="24"/>
      <c r="H229" s="24"/>
      <c r="J229" s="48"/>
      <c r="K229" s="48"/>
      <c r="L229" s="49"/>
      <c r="N229" s="45"/>
      <c r="Q229" s="12"/>
    </row>
    <row r="230" spans="2:17" ht="18.75" customHeight="1">
      <c r="B230" s="14"/>
      <c r="C230" s="14"/>
      <c r="D230" s="14"/>
      <c r="E230" s="14"/>
      <c r="F230" s="14"/>
      <c r="G230" s="14"/>
      <c r="H230" s="14"/>
      <c r="J230" s="49">
        <f>+L228*J227</f>
        <v>0</v>
      </c>
      <c r="K230" s="49"/>
      <c r="L230" s="49"/>
      <c r="N230" s="46"/>
      <c r="Q230" s="12"/>
    </row>
    <row r="231" spans="2:17" ht="18.75" customHeight="1">
      <c r="B231" s="14"/>
      <c r="C231" s="7"/>
      <c r="D231" s="7"/>
      <c r="E231" s="7"/>
      <c r="F231" s="7"/>
      <c r="G231" s="7"/>
      <c r="H231" s="7"/>
      <c r="I231" s="7"/>
      <c r="J231" s="25"/>
      <c r="K231" s="25"/>
      <c r="L231" s="25"/>
      <c r="N231" s="27"/>
      <c r="Q231" s="12"/>
    </row>
    <row r="232" spans="2:17" ht="18.75" customHeight="1">
      <c r="B232" s="37" t="s">
        <v>53</v>
      </c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N232" s="38">
        <v>-0.1</v>
      </c>
      <c r="Q232" s="12"/>
    </row>
    <row r="233" spans="2:17" ht="18.75" customHeight="1">
      <c r="B233" s="14"/>
      <c r="C233" s="7"/>
      <c r="D233" s="7"/>
      <c r="E233" s="7"/>
      <c r="F233" s="7"/>
      <c r="G233" s="7"/>
      <c r="H233" s="7"/>
      <c r="I233" s="7"/>
      <c r="J233" s="25"/>
      <c r="K233" s="25"/>
      <c r="L233" s="25"/>
      <c r="N233" s="39"/>
      <c r="Q233" s="12"/>
    </row>
    <row r="234" spans="2:17" ht="18.75" customHeight="1">
      <c r="C234" s="40" t="s">
        <v>54</v>
      </c>
      <c r="D234" s="41"/>
      <c r="E234" s="41"/>
      <c r="F234" s="41"/>
      <c r="G234" s="41"/>
      <c r="H234" s="42"/>
      <c r="I234" s="7"/>
      <c r="J234" s="43">
        <v>1</v>
      </c>
      <c r="K234" s="43"/>
      <c r="L234" s="43"/>
      <c r="N234" s="44">
        <f>+(J237)*N232</f>
        <v>0</v>
      </c>
      <c r="Q234" s="12"/>
    </row>
    <row r="235" spans="2:17" ht="18.75" customHeight="1">
      <c r="B235" s="47" t="s">
        <v>55</v>
      </c>
      <c r="C235" s="20">
        <v>1</v>
      </c>
      <c r="D235" s="20">
        <v>1</v>
      </c>
      <c r="E235" s="20">
        <v>1</v>
      </c>
      <c r="F235" s="20">
        <v>1</v>
      </c>
      <c r="G235" s="20">
        <v>1</v>
      </c>
      <c r="H235" s="20">
        <v>1</v>
      </c>
      <c r="I235" s="7"/>
      <c r="J235" s="48">
        <f>SUM(C236:I236)</f>
        <v>0</v>
      </c>
      <c r="K235" s="48">
        <f>SUM(C235:H235)</f>
        <v>6</v>
      </c>
      <c r="L235" s="49">
        <f>+J235/K235</f>
        <v>0</v>
      </c>
      <c r="N235" s="45"/>
      <c r="Q235" s="12"/>
    </row>
    <row r="236" spans="2:17" ht="18.75" customHeight="1">
      <c r="B236" s="47"/>
      <c r="C236" s="24"/>
      <c r="D236" s="24"/>
      <c r="E236" s="24"/>
      <c r="F236" s="24"/>
      <c r="G236" s="24"/>
      <c r="H236" s="24"/>
      <c r="I236" s="7"/>
      <c r="J236" s="48"/>
      <c r="K236" s="48"/>
      <c r="L236" s="49"/>
      <c r="N236" s="45"/>
      <c r="Q236" s="12"/>
    </row>
    <row r="237" spans="2:17" ht="15" customHeight="1">
      <c r="B237" s="14"/>
      <c r="C237" s="7"/>
      <c r="D237" s="7"/>
      <c r="E237" s="7"/>
      <c r="F237" s="7"/>
      <c r="G237" s="7"/>
      <c r="H237" s="7"/>
      <c r="I237" s="7"/>
      <c r="J237" s="49">
        <f>+L235*J234</f>
        <v>0</v>
      </c>
      <c r="K237" s="49"/>
      <c r="L237" s="49"/>
      <c r="N237" s="46"/>
      <c r="Q237" s="12"/>
    </row>
    <row r="238" spans="2:17" ht="15" customHeight="1">
      <c r="B238" s="14"/>
      <c r="C238" s="7"/>
      <c r="D238" s="7"/>
      <c r="E238" s="7"/>
      <c r="F238" s="7"/>
      <c r="G238" s="7"/>
      <c r="H238" s="7"/>
      <c r="I238" s="7"/>
      <c r="J238" s="25"/>
      <c r="K238" s="25"/>
      <c r="L238" s="25"/>
      <c r="N238" s="27"/>
      <c r="Q238" s="12"/>
    </row>
    <row r="239" spans="2:17" ht="25.5" customHeight="1">
      <c r="J239" s="53" t="s">
        <v>56</v>
      </c>
      <c r="K239" s="53"/>
      <c r="L239" s="53"/>
      <c r="M239" s="31"/>
      <c r="N239" s="51">
        <f>SUM(N9+N49+N82+N104+N116+N149+N177+N200+N207+N234)</f>
        <v>0</v>
      </c>
      <c r="Q239" s="12"/>
    </row>
    <row r="240" spans="2:17" ht="24.75" customHeight="1">
      <c r="J240" s="53"/>
      <c r="K240" s="53"/>
      <c r="L240" s="53"/>
      <c r="M240" s="31"/>
      <c r="N240" s="52"/>
      <c r="Q240" s="12"/>
    </row>
    <row r="241" spans="10:17" ht="24.75" customHeight="1">
      <c r="J241" s="32"/>
      <c r="K241" s="32"/>
      <c r="L241" s="32"/>
      <c r="M241" s="31"/>
      <c r="N241" s="27"/>
      <c r="Q241" s="12"/>
    </row>
    <row r="243" spans="10:17" ht="15">
      <c r="J243" s="33" t="s">
        <v>57</v>
      </c>
      <c r="Q243" s="12"/>
    </row>
    <row r="244" spans="10:17">
      <c r="J244" s="14"/>
      <c r="Q244" s="12"/>
    </row>
    <row r="245" spans="10:17" ht="26.25" customHeight="1">
      <c r="J245" s="14"/>
      <c r="Q245" s="12"/>
    </row>
    <row r="246" spans="10:17">
      <c r="J246" s="14"/>
      <c r="Q246" s="12"/>
    </row>
  </sheetData>
  <mergeCells count="358">
    <mergeCell ref="J195:L195"/>
    <mergeCell ref="N177:N195"/>
    <mergeCell ref="B188:B194"/>
    <mergeCell ref="J188:J189"/>
    <mergeCell ref="K188:K189"/>
    <mergeCell ref="L188:L189"/>
    <mergeCell ref="J190:L190"/>
    <mergeCell ref="C192:H192"/>
    <mergeCell ref="J192:L192"/>
    <mergeCell ref="J193:J194"/>
    <mergeCell ref="K193:K194"/>
    <mergeCell ref="L193:L194"/>
    <mergeCell ref="C182:H182"/>
    <mergeCell ref="J182:L182"/>
    <mergeCell ref="B183:B184"/>
    <mergeCell ref="J183:J184"/>
    <mergeCell ref="K183:K184"/>
    <mergeCell ref="L183:L184"/>
    <mergeCell ref="J185:L185"/>
    <mergeCell ref="C187:H187"/>
    <mergeCell ref="J187:L187"/>
    <mergeCell ref="B175:L175"/>
    <mergeCell ref="N175:N176"/>
    <mergeCell ref="C177:H177"/>
    <mergeCell ref="J177:L177"/>
    <mergeCell ref="B178:B179"/>
    <mergeCell ref="C178:H178"/>
    <mergeCell ref="J178:J179"/>
    <mergeCell ref="K178:K179"/>
    <mergeCell ref="L178:L179"/>
    <mergeCell ref="C179:H179"/>
    <mergeCell ref="J180:L180"/>
    <mergeCell ref="J230:L230"/>
    <mergeCell ref="J74:L74"/>
    <mergeCell ref="K50:K51"/>
    <mergeCell ref="L50:L51"/>
    <mergeCell ref="J67:L67"/>
    <mergeCell ref="J220:L220"/>
    <mergeCell ref="C207:D207"/>
    <mergeCell ref="E207:H207"/>
    <mergeCell ref="J218:J219"/>
    <mergeCell ref="K218:K219"/>
    <mergeCell ref="L218:L219"/>
    <mergeCell ref="J172:L172"/>
    <mergeCell ref="J162:L162"/>
    <mergeCell ref="B198:L198"/>
    <mergeCell ref="C217:H217"/>
    <mergeCell ref="J217:L217"/>
    <mergeCell ref="C127:H127"/>
    <mergeCell ref="C128:H128"/>
    <mergeCell ref="C122:E122"/>
    <mergeCell ref="F122:H122"/>
    <mergeCell ref="C123:E123"/>
    <mergeCell ref="F123:H123"/>
    <mergeCell ref="C155:D155"/>
    <mergeCell ref="E155:F155"/>
    <mergeCell ref="E156:F156"/>
    <mergeCell ref="G156:H156"/>
    <mergeCell ref="L98:L99"/>
    <mergeCell ref="J100:L100"/>
    <mergeCell ref="K160:K161"/>
    <mergeCell ref="C117:H117"/>
    <mergeCell ref="J117:J118"/>
    <mergeCell ref="L105:L106"/>
    <mergeCell ref="C110:H110"/>
    <mergeCell ref="J132:J133"/>
    <mergeCell ref="K132:K133"/>
    <mergeCell ref="B102:L102"/>
    <mergeCell ref="B114:L114"/>
    <mergeCell ref="B122:B123"/>
    <mergeCell ref="B150:B151"/>
    <mergeCell ref="B132:B133"/>
    <mergeCell ref="B127:B128"/>
    <mergeCell ref="C118:H118"/>
    <mergeCell ref="C121:H121"/>
    <mergeCell ref="C126:H126"/>
    <mergeCell ref="C136:H136"/>
    <mergeCell ref="C150:H150"/>
    <mergeCell ref="B147:L147"/>
    <mergeCell ref="C104:D104"/>
    <mergeCell ref="F28:H28"/>
    <mergeCell ref="C60:E60"/>
    <mergeCell ref="F60:H60"/>
    <mergeCell ref="C61:E61"/>
    <mergeCell ref="F61:H61"/>
    <mergeCell ref="L65:L66"/>
    <mergeCell ref="J27:J28"/>
    <mergeCell ref="K27:K28"/>
    <mergeCell ref="L27:L28"/>
    <mergeCell ref="C59:H59"/>
    <mergeCell ref="J59:L59"/>
    <mergeCell ref="J62:L62"/>
    <mergeCell ref="C64:H64"/>
    <mergeCell ref="J64:L64"/>
    <mergeCell ref="J34:L34"/>
    <mergeCell ref="J49:L49"/>
    <mergeCell ref="J60:J61"/>
    <mergeCell ref="K60:K61"/>
    <mergeCell ref="C49:H49"/>
    <mergeCell ref="C54:F54"/>
    <mergeCell ref="N9:N44"/>
    <mergeCell ref="C222:H222"/>
    <mergeCell ref="J222:L222"/>
    <mergeCell ref="B223:B229"/>
    <mergeCell ref="J223:J224"/>
    <mergeCell ref="K223:K224"/>
    <mergeCell ref="L223:L224"/>
    <mergeCell ref="J225:L225"/>
    <mergeCell ref="C227:H227"/>
    <mergeCell ref="J227:L227"/>
    <mergeCell ref="J228:J229"/>
    <mergeCell ref="K228:K229"/>
    <mergeCell ref="L228:L229"/>
    <mergeCell ref="N149:N172"/>
    <mergeCell ref="C164:H164"/>
    <mergeCell ref="J164:L164"/>
    <mergeCell ref="B165:B171"/>
    <mergeCell ref="J165:J166"/>
    <mergeCell ref="K165:K166"/>
    <mergeCell ref="B201:B202"/>
    <mergeCell ref="K105:K106"/>
    <mergeCell ref="C27:E27"/>
    <mergeCell ref="F27:H27"/>
    <mergeCell ref="C28:E28"/>
    <mergeCell ref="B6:L6"/>
    <mergeCell ref="B80:L80"/>
    <mergeCell ref="L60:L61"/>
    <mergeCell ref="J54:L54"/>
    <mergeCell ref="J55:J56"/>
    <mergeCell ref="K55:K56"/>
    <mergeCell ref="C36:H36"/>
    <mergeCell ref="J36:L36"/>
    <mergeCell ref="B37:B43"/>
    <mergeCell ref="J37:J38"/>
    <mergeCell ref="K37:K38"/>
    <mergeCell ref="L37:L38"/>
    <mergeCell ref="J39:L39"/>
    <mergeCell ref="C41:H41"/>
    <mergeCell ref="J41:L41"/>
    <mergeCell ref="J42:J43"/>
    <mergeCell ref="K42:K43"/>
    <mergeCell ref="L55:L56"/>
    <mergeCell ref="G56:H56"/>
    <mergeCell ref="C16:H16"/>
    <mergeCell ref="J16:L16"/>
    <mergeCell ref="J14:L14"/>
    <mergeCell ref="J12:J13"/>
    <mergeCell ref="K12:K13"/>
    <mergeCell ref="C169:H169"/>
    <mergeCell ref="J169:L169"/>
    <mergeCell ref="J170:J171"/>
    <mergeCell ref="K170:K171"/>
    <mergeCell ref="L170:L171"/>
    <mergeCell ref="B155:B156"/>
    <mergeCell ref="B160:B161"/>
    <mergeCell ref="J129:L129"/>
    <mergeCell ref="B137:B143"/>
    <mergeCell ref="J137:J138"/>
    <mergeCell ref="K137:K138"/>
    <mergeCell ref="L137:L138"/>
    <mergeCell ref="J139:L139"/>
    <mergeCell ref="C141:H141"/>
    <mergeCell ref="J160:J161"/>
    <mergeCell ref="L150:L151"/>
    <mergeCell ref="C151:H151"/>
    <mergeCell ref="J157:L157"/>
    <mergeCell ref="C149:H149"/>
    <mergeCell ref="C154:H154"/>
    <mergeCell ref="J136:L136"/>
    <mergeCell ref="L165:L166"/>
    <mergeCell ref="G155:H155"/>
    <mergeCell ref="C156:D156"/>
    <mergeCell ref="B17:B18"/>
    <mergeCell ref="J17:J18"/>
    <mergeCell ref="K17:K18"/>
    <mergeCell ref="L17:L18"/>
    <mergeCell ref="J19:L19"/>
    <mergeCell ref="C17:E17"/>
    <mergeCell ref="F17:H17"/>
    <mergeCell ref="C18:E18"/>
    <mergeCell ref="F18:H18"/>
    <mergeCell ref="B218:B219"/>
    <mergeCell ref="N198:N199"/>
    <mergeCell ref="K155:K156"/>
    <mergeCell ref="L155:L156"/>
    <mergeCell ref="L117:L118"/>
    <mergeCell ref="J119:L119"/>
    <mergeCell ref="J124:L124"/>
    <mergeCell ref="J144:L144"/>
    <mergeCell ref="K127:K128"/>
    <mergeCell ref="L127:L128"/>
    <mergeCell ref="C131:H131"/>
    <mergeCell ref="J131:L131"/>
    <mergeCell ref="L160:L161"/>
    <mergeCell ref="J154:L154"/>
    <mergeCell ref="J152:L152"/>
    <mergeCell ref="J122:J123"/>
    <mergeCell ref="K122:K123"/>
    <mergeCell ref="L122:L123"/>
    <mergeCell ref="J155:J156"/>
    <mergeCell ref="J141:L141"/>
    <mergeCell ref="J142:J143"/>
    <mergeCell ref="K142:K143"/>
    <mergeCell ref="L142:L143"/>
    <mergeCell ref="K150:K151"/>
    <mergeCell ref="B2:K2"/>
    <mergeCell ref="L2:N2"/>
    <mergeCell ref="E56:F56"/>
    <mergeCell ref="E55:F55"/>
    <mergeCell ref="C56:D56"/>
    <mergeCell ref="C4:G4"/>
    <mergeCell ref="C31:H31"/>
    <mergeCell ref="J24:L24"/>
    <mergeCell ref="C26:H26"/>
    <mergeCell ref="J31:L31"/>
    <mergeCell ref="C50:H50"/>
    <mergeCell ref="J50:J51"/>
    <mergeCell ref="J32:J33"/>
    <mergeCell ref="K32:K33"/>
    <mergeCell ref="B11:B13"/>
    <mergeCell ref="C21:H21"/>
    <mergeCell ref="C22:H22"/>
    <mergeCell ref="C23:H23"/>
    <mergeCell ref="B22:B23"/>
    <mergeCell ref="J21:L21"/>
    <mergeCell ref="J22:J23"/>
    <mergeCell ref="J29:L29"/>
    <mergeCell ref="J26:L26"/>
    <mergeCell ref="B27:B28"/>
    <mergeCell ref="C10:H10"/>
    <mergeCell ref="N47:N48"/>
    <mergeCell ref="B55:B56"/>
    <mergeCell ref="B83:B84"/>
    <mergeCell ref="G55:H55"/>
    <mergeCell ref="C51:H51"/>
    <mergeCell ref="G54:H54"/>
    <mergeCell ref="C55:D55"/>
    <mergeCell ref="C74:H74"/>
    <mergeCell ref="L83:L84"/>
    <mergeCell ref="C82:H82"/>
    <mergeCell ref="B50:B51"/>
    <mergeCell ref="J57:L57"/>
    <mergeCell ref="J52:L52"/>
    <mergeCell ref="J77:L77"/>
    <mergeCell ref="J70:J71"/>
    <mergeCell ref="K70:K71"/>
    <mergeCell ref="L70:L71"/>
    <mergeCell ref="K83:K84"/>
    <mergeCell ref="K65:K66"/>
    <mergeCell ref="J83:J84"/>
    <mergeCell ref="B65:B66"/>
    <mergeCell ref="J65:J66"/>
    <mergeCell ref="B70:B76"/>
    <mergeCell ref="B117:B118"/>
    <mergeCell ref="J72:L72"/>
    <mergeCell ref="N80:N81"/>
    <mergeCell ref="C116:H116"/>
    <mergeCell ref="J116:L116"/>
    <mergeCell ref="N82:N100"/>
    <mergeCell ref="N49:N77"/>
    <mergeCell ref="N116:N144"/>
    <mergeCell ref="B93:B94"/>
    <mergeCell ref="J98:J99"/>
    <mergeCell ref="K98:K99"/>
    <mergeCell ref="J82:L82"/>
    <mergeCell ref="C69:H69"/>
    <mergeCell ref="J69:L69"/>
    <mergeCell ref="J93:J94"/>
    <mergeCell ref="J75:J76"/>
    <mergeCell ref="K75:K76"/>
    <mergeCell ref="L75:L76"/>
    <mergeCell ref="J88:J89"/>
    <mergeCell ref="K88:K89"/>
    <mergeCell ref="K93:K94"/>
    <mergeCell ref="L93:L94"/>
    <mergeCell ref="C87:H87"/>
    <mergeCell ref="L213:L214"/>
    <mergeCell ref="C159:H159"/>
    <mergeCell ref="J159:L159"/>
    <mergeCell ref="J109:L109"/>
    <mergeCell ref="N114:N115"/>
    <mergeCell ref="N104:N112"/>
    <mergeCell ref="B60:B61"/>
    <mergeCell ref="J87:L87"/>
    <mergeCell ref="J107:L107"/>
    <mergeCell ref="E104:H104"/>
    <mergeCell ref="K117:K118"/>
    <mergeCell ref="B105:B106"/>
    <mergeCell ref="B88:B89"/>
    <mergeCell ref="B110:B111"/>
    <mergeCell ref="J104:L104"/>
    <mergeCell ref="C111:H111"/>
    <mergeCell ref="J105:J106"/>
    <mergeCell ref="C97:H97"/>
    <mergeCell ref="J97:L97"/>
    <mergeCell ref="C92:H92"/>
    <mergeCell ref="B98:B99"/>
    <mergeCell ref="C109:H109"/>
    <mergeCell ref="J92:L92"/>
    <mergeCell ref="J95:L95"/>
    <mergeCell ref="J10:L11"/>
    <mergeCell ref="J149:L149"/>
    <mergeCell ref="J150:J151"/>
    <mergeCell ref="L12:L13"/>
    <mergeCell ref="N102:N103"/>
    <mergeCell ref="N147:N148"/>
    <mergeCell ref="J215:L215"/>
    <mergeCell ref="B32:B33"/>
    <mergeCell ref="N239:N240"/>
    <mergeCell ref="B213:B214"/>
    <mergeCell ref="B208:B209"/>
    <mergeCell ref="J239:L240"/>
    <mergeCell ref="N200:N203"/>
    <mergeCell ref="C200:H200"/>
    <mergeCell ref="J200:L200"/>
    <mergeCell ref="J201:J202"/>
    <mergeCell ref="K201:K202"/>
    <mergeCell ref="L201:L202"/>
    <mergeCell ref="J203:L203"/>
    <mergeCell ref="K208:K209"/>
    <mergeCell ref="L208:L209"/>
    <mergeCell ref="J213:J214"/>
    <mergeCell ref="K213:K214"/>
    <mergeCell ref="C212:H212"/>
    <mergeCell ref="N205:N206"/>
    <mergeCell ref="J207:L207"/>
    <mergeCell ref="J210:L210"/>
    <mergeCell ref="J212:L212"/>
    <mergeCell ref="J208:J209"/>
    <mergeCell ref="K22:K23"/>
    <mergeCell ref="L22:L23"/>
    <mergeCell ref="L32:L33"/>
    <mergeCell ref="J121:L121"/>
    <mergeCell ref="J134:L134"/>
    <mergeCell ref="L132:L133"/>
    <mergeCell ref="J112:L112"/>
    <mergeCell ref="J110:J111"/>
    <mergeCell ref="K110:K111"/>
    <mergeCell ref="L110:L111"/>
    <mergeCell ref="J126:L126"/>
    <mergeCell ref="J127:J128"/>
    <mergeCell ref="L88:L89"/>
    <mergeCell ref="J90:L90"/>
    <mergeCell ref="J85:L85"/>
    <mergeCell ref="J167:L167"/>
    <mergeCell ref="N207:N230"/>
    <mergeCell ref="L42:L43"/>
    <mergeCell ref="J44:L44"/>
    <mergeCell ref="B232:L232"/>
    <mergeCell ref="N232:N233"/>
    <mergeCell ref="C234:H234"/>
    <mergeCell ref="J234:L234"/>
    <mergeCell ref="N234:N237"/>
    <mergeCell ref="B235:B236"/>
    <mergeCell ref="J235:J236"/>
    <mergeCell ref="K235:K236"/>
    <mergeCell ref="L235:L236"/>
    <mergeCell ref="J237:L237"/>
  </mergeCells>
  <pageMargins left="0.25" right="0.25" top="0.75" bottom="0.75" header="0.3" footer="0.3"/>
  <pageSetup paperSize="9" scale="6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11.42578125" defaultRowHeight="15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11.42578125" defaultRowHeight="1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 1</vt:lpstr>
      <vt:lpstr>Hoja2</vt:lpstr>
      <vt:lpstr>Hoja3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Yanina Vignolo</dc:creator>
  <cp:keywords/>
  <dc:description/>
  <cp:lastModifiedBy>Tomás Cosenza</cp:lastModifiedBy>
  <cp:revision/>
  <dcterms:created xsi:type="dcterms:W3CDTF">2017-01-12T19:41:10Z</dcterms:created>
  <dcterms:modified xsi:type="dcterms:W3CDTF">2026-07-13T14:05:39Z</dcterms:modified>
  <cp:category/>
  <cp:contentStatus/>
</cp:coreProperties>
</file>